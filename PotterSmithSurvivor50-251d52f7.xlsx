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kcorp-my.sharepoint.com/personal/chris_smith_mkcorp_com/Documents/"/>
    </mc:Choice>
  </mc:AlternateContent>
  <xr:revisionPtr revIDLastSave="152" documentId="8_{B45B49CA-E036-4263-BCA1-E2AB864C1052}" xr6:coauthVersionLast="47" xr6:coauthVersionMax="47" xr10:uidLastSave="{CF5B4FD9-E384-412C-94A6-36D13512768A}"/>
  <bookViews>
    <workbookView xWindow="-110" yWindow="-110" windowWidth="19420" windowHeight="11500" firstSheet="1" activeTab="1" xr2:uid="{00000000-000D-0000-FFFF-FFFF00000000}"/>
  </bookViews>
  <sheets>
    <sheet name="Teams" sheetId="1" state="hidden" r:id="rId1"/>
    <sheet name="Placements" sheetId="2" r:id="rId2"/>
    <sheet name="Golden Snitch" sheetId="3" state="hidden" r:id="rId3"/>
    <sheet name="Scores" sheetId="4" state="hidden" r:id="rId4"/>
    <sheet name="Dashboard" sheetId="5" r:id="rId5"/>
    <sheet name="Placements (2)" sheetId="7" r:id="rId6"/>
  </sheets>
  <externalReferences>
    <externalReference r:id="rId7"/>
  </externalReferences>
  <definedNames>
    <definedName name="PointsChartData">OFFSET('[1]Chart Data'!$A$1,0,0,'[1]Chart Data'!$M$2+1,5)</definedName>
    <definedName name="RankingsChartData">OFFSET('[1]Chart Data'!$G$1,0,0,'[1]Chart Data'!$M$2+1,5)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7" l="1"/>
  <c r="F25" i="7"/>
  <c r="H25" i="7" s="1"/>
  <c r="E25" i="7"/>
  <c r="G24" i="7"/>
  <c r="F24" i="7"/>
  <c r="E24" i="7"/>
  <c r="H24" i="7" s="1"/>
  <c r="G23" i="7"/>
  <c r="F23" i="7"/>
  <c r="H23" i="7" s="1"/>
  <c r="E23" i="7"/>
  <c r="G22" i="7"/>
  <c r="F22" i="7"/>
  <c r="E22" i="7"/>
  <c r="H22" i="7" s="1"/>
  <c r="H21" i="7"/>
  <c r="G21" i="7"/>
  <c r="F21" i="7"/>
  <c r="E21" i="7"/>
  <c r="G20" i="7"/>
  <c r="F20" i="7"/>
  <c r="E20" i="7"/>
  <c r="H20" i="7" s="1"/>
  <c r="G19" i="7"/>
  <c r="F19" i="7"/>
  <c r="H19" i="7" s="1"/>
  <c r="E19" i="7"/>
  <c r="G18" i="7"/>
  <c r="F18" i="7"/>
  <c r="E18" i="7"/>
  <c r="H18" i="7" s="1"/>
  <c r="H17" i="7"/>
  <c r="G17" i="7"/>
  <c r="F17" i="7"/>
  <c r="E17" i="7"/>
  <c r="G16" i="7"/>
  <c r="F16" i="7"/>
  <c r="E16" i="7"/>
  <c r="H16" i="7" s="1"/>
  <c r="G15" i="7"/>
  <c r="F15" i="7"/>
  <c r="H15" i="7" s="1"/>
  <c r="E15" i="7"/>
  <c r="G14" i="7"/>
  <c r="F14" i="7"/>
  <c r="E14" i="7"/>
  <c r="H14" i="7" s="1"/>
  <c r="H13" i="7"/>
  <c r="G13" i="7"/>
  <c r="F13" i="7"/>
  <c r="E13" i="7"/>
  <c r="G12" i="7"/>
  <c r="F12" i="7"/>
  <c r="E12" i="7"/>
  <c r="H12" i="7" s="1"/>
  <c r="G11" i="7"/>
  <c r="F11" i="7"/>
  <c r="H11" i="7" s="1"/>
  <c r="E11" i="7"/>
  <c r="G10" i="7"/>
  <c r="F10" i="7"/>
  <c r="E10" i="7"/>
  <c r="H10" i="7" s="1"/>
  <c r="H9" i="7"/>
  <c r="G9" i="7"/>
  <c r="F9" i="7"/>
  <c r="E9" i="7"/>
  <c r="G8" i="7"/>
  <c r="F8" i="7"/>
  <c r="E8" i="7"/>
  <c r="H8" i="7" s="1"/>
  <c r="G7" i="7"/>
  <c r="F7" i="7"/>
  <c r="H7" i="7" s="1"/>
  <c r="E7" i="7"/>
  <c r="G6" i="7"/>
  <c r="F6" i="7"/>
  <c r="E6" i="7"/>
  <c r="H6" i="7" s="1"/>
  <c r="H5" i="7"/>
  <c r="G5" i="7"/>
  <c r="F5" i="7"/>
  <c r="E5" i="7"/>
  <c r="G4" i="7"/>
  <c r="F4" i="7"/>
  <c r="E4" i="7"/>
  <c r="H4" i="7" s="1"/>
  <c r="G3" i="7"/>
  <c r="F3" i="7"/>
  <c r="H3" i="7" s="1"/>
  <c r="E3" i="7"/>
  <c r="G2" i="7"/>
  <c r="F2" i="7"/>
  <c r="E2" i="7"/>
  <c r="H2" i="7" s="1"/>
  <c r="G19" i="5" l="1"/>
  <c r="G18" i="5"/>
  <c r="G17" i="5"/>
  <c r="J10" i="5" a="1"/>
  <c r="J10" i="5" s="1"/>
  <c r="I10" i="5" a="1"/>
  <c r="I10" i="5" s="1"/>
  <c r="J3" i="5" a="1"/>
  <c r="J3" i="5" s="1"/>
  <c r="I3" i="5" a="1"/>
  <c r="I3" i="5" s="1"/>
  <c r="J9" i="5" a="1"/>
  <c r="J9" i="5" s="1"/>
  <c r="I9" i="5" a="1"/>
  <c r="I9" i="5" s="1"/>
  <c r="J2" i="5" a="1"/>
  <c r="J2" i="5" s="1"/>
  <c r="I2" i="5" a="1"/>
  <c r="I2" i="5" s="1"/>
  <c r="C21" i="2"/>
  <c r="B21" i="2"/>
  <c r="C20" i="2"/>
  <c r="B20" i="2"/>
  <c r="C19" i="2"/>
  <c r="B19" i="2"/>
  <c r="C18" i="2"/>
  <c r="B18" i="2"/>
  <c r="C17" i="2"/>
  <c r="B17" i="2"/>
  <c r="G20" i="5" s="1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  <c r="C20" i="5" l="1" a="1"/>
  <c r="C20" i="5" s="1"/>
  <c r="B20" i="5" a="1"/>
  <c r="B20" i="5" s="1"/>
  <c r="A20" i="5" a="1"/>
  <c r="A20" i="5" s="1"/>
  <c r="C19" i="5" a="1"/>
  <c r="C19" i="5" s="1"/>
  <c r="B19" i="5" a="1"/>
  <c r="B19" i="5" s="1"/>
  <c r="A19" i="5" a="1"/>
  <c r="A19" i="5" s="1"/>
  <c r="C18" i="5" a="1"/>
  <c r="C18" i="5" s="1"/>
  <c r="B18" i="5" a="1"/>
  <c r="B18" i="5" s="1"/>
  <c r="A18" i="5" a="1"/>
  <c r="A18" i="5" s="1"/>
  <c r="C17" i="5" a="1"/>
  <c r="C17" i="5" s="1"/>
  <c r="B17" i="5" a="1"/>
  <c r="B17" i="5" s="1"/>
  <c r="A17" i="5" a="1"/>
  <c r="A17" i="5" s="1"/>
  <c r="B11" i="5"/>
  <c r="B10" i="5"/>
  <c r="B9" i="5"/>
  <c r="F20" i="5"/>
  <c r="E20" i="5"/>
  <c r="F19" i="5"/>
  <c r="E19" i="5"/>
  <c r="F18" i="5"/>
  <c r="E18" i="5"/>
  <c r="F17" i="5"/>
  <c r="E17" i="5"/>
  <c r="C5" i="3"/>
  <c r="C5" i="4" s="1"/>
  <c r="C4" i="3"/>
  <c r="C4" i="4" s="1"/>
  <c r="C3" i="3"/>
  <c r="C3" i="4" s="1"/>
  <c r="C2" i="3"/>
  <c r="C2" i="4" s="1"/>
  <c r="G21" i="2"/>
  <c r="F21" i="2"/>
  <c r="E21" i="2"/>
  <c r="G20" i="2"/>
  <c r="F20" i="2"/>
  <c r="E20" i="2"/>
  <c r="G19" i="2"/>
  <c r="F19" i="2"/>
  <c r="E19" i="2"/>
  <c r="G18" i="2"/>
  <c r="F18" i="2"/>
  <c r="E18" i="2"/>
  <c r="G17" i="2"/>
  <c r="F17" i="2"/>
  <c r="E17" i="2"/>
  <c r="H17" i="2" s="1"/>
  <c r="G16" i="2"/>
  <c r="F16" i="2"/>
  <c r="E16" i="2"/>
  <c r="H16" i="2" s="1"/>
  <c r="G15" i="2"/>
  <c r="F15" i="2"/>
  <c r="E15" i="2"/>
  <c r="G14" i="2"/>
  <c r="F14" i="2"/>
  <c r="E14" i="2"/>
  <c r="G13" i="2"/>
  <c r="F13" i="2"/>
  <c r="E13" i="2"/>
  <c r="G12" i="2"/>
  <c r="F12" i="2"/>
  <c r="E12" i="2"/>
  <c r="G11" i="2"/>
  <c r="F11" i="2"/>
  <c r="E11" i="2"/>
  <c r="H11" i="2" s="1"/>
  <c r="G10" i="2"/>
  <c r="F10" i="2"/>
  <c r="E10" i="2"/>
  <c r="G9" i="2"/>
  <c r="F9" i="2"/>
  <c r="E9" i="2"/>
  <c r="H9" i="2" s="1"/>
  <c r="G8" i="2"/>
  <c r="F8" i="2"/>
  <c r="E8" i="2"/>
  <c r="G7" i="2"/>
  <c r="F7" i="2"/>
  <c r="E7" i="2"/>
  <c r="G6" i="2"/>
  <c r="F6" i="2"/>
  <c r="E6" i="2"/>
  <c r="G5" i="2"/>
  <c r="F5" i="2"/>
  <c r="E5" i="2"/>
  <c r="G4" i="2"/>
  <c r="F4" i="2"/>
  <c r="E4" i="2"/>
  <c r="G3" i="2"/>
  <c r="F3" i="2"/>
  <c r="E3" i="2"/>
  <c r="H3" i="2" s="1"/>
  <c r="G2" i="2"/>
  <c r="F2" i="2"/>
  <c r="E2" i="2"/>
  <c r="H20" i="2" l="1"/>
  <c r="H19" i="2"/>
  <c r="H21" i="2"/>
  <c r="H4" i="2"/>
  <c r="H8" i="2"/>
  <c r="H15" i="2"/>
  <c r="H12" i="2"/>
  <c r="H2" i="2"/>
  <c r="H13" i="2"/>
  <c r="H7" i="2"/>
  <c r="H14" i="2"/>
  <c r="H18" i="2"/>
  <c r="B5" i="4" s="1"/>
  <c r="D5" i="4" s="1"/>
  <c r="H5" i="2"/>
  <c r="H10" i="2"/>
  <c r="H6" i="2"/>
  <c r="B12" i="5" l="1"/>
  <c r="D17" i="5" a="1"/>
  <c r="D17" i="5" s="1"/>
  <c r="D20" i="5" a="1"/>
  <c r="D20" i="5" s="1"/>
  <c r="D19" i="5" a="1"/>
  <c r="D19" i="5" s="1"/>
  <c r="D18" i="5" a="1"/>
  <c r="D18" i="5" s="1"/>
  <c r="B4" i="4"/>
  <c r="D4" i="4" s="1"/>
  <c r="B3" i="4"/>
  <c r="D3" i="4" s="1"/>
  <c r="B2" i="4"/>
  <c r="D2" i="4" s="1"/>
  <c r="C13" i="5" l="1" a="1"/>
  <c r="C13" i="5" s="1"/>
  <c r="C12" i="5" a="1"/>
  <c r="C12" i="5" s="1"/>
  <c r="C11" i="5" a="1"/>
  <c r="C11" i="5" s="1"/>
  <c r="C10" i="5" a="1"/>
  <c r="C10" i="5" s="1"/>
  <c r="E3" i="5" a="1"/>
  <c r="E3" i="5" s="1"/>
  <c r="B3" i="5" a="1"/>
  <c r="B3" i="5" s="1"/>
  <c r="E6" i="5" a="1"/>
  <c r="E6" i="5" s="1"/>
  <c r="B6" i="5" a="1"/>
  <c r="B6" i="5" s="1"/>
  <c r="E5" i="5" a="1"/>
  <c r="E5" i="5" s="1"/>
  <c r="D5" i="5" a="1"/>
  <c r="D5" i="5" s="1"/>
  <c r="B5" i="5" a="1"/>
  <c r="B5" i="5" s="1"/>
  <c r="E4" i="5" a="1"/>
  <c r="E4" i="5" s="1"/>
  <c r="D4" i="5" a="1"/>
  <c r="D4" i="5" s="1"/>
  <c r="B4" i="5" a="1"/>
  <c r="B4" i="5" s="1"/>
  <c r="D3" i="5" a="1"/>
  <c r="D3" i="5" s="1"/>
  <c r="D6" i="5" a="1"/>
  <c r="D6" i="5" s="1"/>
  <c r="C4" i="5" a="1"/>
  <c r="C4" i="5" s="1"/>
  <c r="C5" i="5" a="1"/>
  <c r="C5" i="5" s="1"/>
  <c r="C6" i="5" a="1"/>
  <c r="C6" i="5" s="1"/>
  <c r="C3" i="5" a="1"/>
  <c r="C3" i="5" s="1"/>
  <c r="B13" i="5" l="1"/>
  <c r="F10" i="5"/>
  <c r="E10" i="5"/>
  <c r="D10" i="5"/>
  <c r="F11" i="5"/>
  <c r="E11" i="5"/>
  <c r="D11" i="5"/>
  <c r="F12" i="5"/>
  <c r="E12" i="5"/>
  <c r="D12" i="5"/>
  <c r="E13" i="5"/>
  <c r="D13" i="5"/>
  <c r="F13" i="5"/>
  <c r="F4" i="5" l="1"/>
  <c r="F3" i="5"/>
  <c r="F6" i="5"/>
  <c r="F5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<sst xmlns="http://schemas.openxmlformats.org/spreadsheetml/2006/main" count="197" uniqueCount="65">
  <si>
    <t>Team</t>
  </si>
  <si>
    <t>Player</t>
  </si>
  <si>
    <t>Jordan Potter</t>
  </si>
  <si>
    <t>Charlie Davis</t>
  </si>
  <si>
    <t>Joe Hunter</t>
  </si>
  <si>
    <t>Christian Hubicki</t>
  </si>
  <si>
    <t>Savannah Louie</t>
  </si>
  <si>
    <t>Stephenie LaGrossa</t>
  </si>
  <si>
    <t>Lottie Smith</t>
  </si>
  <si>
    <t>Colby Donaldson</t>
  </si>
  <si>
    <t>Oscar Lusth</t>
  </si>
  <si>
    <t>Aubry Bracco</t>
  </si>
  <si>
    <t>Mike White</t>
  </si>
  <si>
    <t>Tiffany Ervin</t>
  </si>
  <si>
    <t>Corn HoleSanders</t>
  </si>
  <si>
    <t>Genevieve Mushaluk</t>
  </si>
  <si>
    <t>Kamilla Karthigesu</t>
  </si>
  <si>
    <t>Quintavius Burdette</t>
  </si>
  <si>
    <t>Rick Devens</t>
  </si>
  <si>
    <t>Benjamin Wade</t>
  </si>
  <si>
    <t>Christopher Smith</t>
  </si>
  <si>
    <t>Jonathan Young</t>
  </si>
  <si>
    <t>Angelina Keeley</t>
  </si>
  <si>
    <t>Cirie Fields</t>
  </si>
  <si>
    <t>Rizo Velovic</t>
  </si>
  <si>
    <t>Dianelys Valladares</t>
  </si>
  <si>
    <t>Placement</t>
  </si>
  <si>
    <t>Episode</t>
  </si>
  <si>
    <t>Base Points</t>
  </si>
  <si>
    <t>Top3 Bonus</t>
  </si>
  <si>
    <t>Winner Bonus</t>
  </si>
  <si>
    <t>Total Points</t>
  </si>
  <si>
    <t>Predicted Winner</t>
  </si>
  <si>
    <t>Snitch Bonus</t>
  </si>
  <si>
    <t>Player Points</t>
  </si>
  <si>
    <t>Power Rank</t>
  </si>
  <si>
    <t>📊 Live Stats</t>
  </si>
  <si>
    <t>Current Episode:</t>
  </si>
  <si>
    <t>Players Eliminated:</t>
  </si>
  <si>
    <t>Players Remaining:</t>
  </si>
  <si>
    <t>🏆 Team Status</t>
  </si>
  <si>
    <t>Still In?</t>
  </si>
  <si>
    <t>🔥 Recent Eliminations</t>
  </si>
  <si>
    <t>Rank</t>
  </si>
  <si>
    <t>Points</t>
  </si>
  <si>
    <t>Active</t>
  </si>
  <si>
    <t>Out</t>
  </si>
  <si>
    <t>🔮 Golden Snitch</t>
  </si>
  <si>
    <t>🏆 CURRENT STANDINGS</t>
  </si>
  <si>
    <t>🥇 1st</t>
  </si>
  <si>
    <t>🥈 2nd</t>
  </si>
  <si>
    <t>🥉 3rd</t>
  </si>
  <si>
    <t>4th</t>
  </si>
  <si>
    <t>Potential Pts</t>
  </si>
  <si>
    <t>📋 TEAM ROSTERS</t>
  </si>
  <si>
    <t>Points Spread:</t>
  </si>
  <si>
    <t>Top Elim Score:</t>
  </si>
  <si>
    <t>Christopher Smith (Coach)</t>
  </si>
  <si>
    <t>Chrissy Hofbeck</t>
  </si>
  <si>
    <t>Lottie Smith (Coach)</t>
  </si>
  <si>
    <t>Jenna Lewis-Dougherty</t>
  </si>
  <si>
    <t>Kyle Fraser</t>
  </si>
  <si>
    <t>Mary Dirting (Coach)</t>
  </si>
  <si>
    <t>Ryan Dirting (Coach)</t>
  </si>
  <si>
    <t>Emily Flippen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</si>
</sst>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1"/>
      <color rgb="FF1F3864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BF3D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5" xfId="0" applyBorder="1"/>
    <xf numFmtId="0" fontId="0" fillId="0" borderId="7" xfId="0" applyBorder="1"/>
    <xf numFmtId="0" fontId="7" fillId="8" borderId="1" xfId="0" applyFont="1" applyFill="1" applyBorder="1" applyAlignment="1">
      <alignment horizontal="center"/>
    </xf>
    <xf numFmtId="0" fontId="0" fillId="11" borderId="2" xfId="0" applyFill="1" applyBorder="1" applyAlignment="1">
      <alignment horizontal="left"/>
    </xf>
    <xf numFmtId="0" fontId="2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2" xfId="0" applyFill="1" applyBorder="1" applyAlignment="1">
      <alignment horizontal="left"/>
    </xf>
    <xf numFmtId="0" fontId="2" fillId="12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1" borderId="1" xfId="0" applyFill="1" applyBorder="1" applyAlignment="1">
      <alignment horizontal="left"/>
    </xf>
    <xf numFmtId="0" fontId="0" fillId="12" borderId="1" xfId="0" applyFill="1" applyBorder="1" applyAlignment="1">
      <alignment horizontal="left"/>
    </xf>
    <xf numFmtId="0" fontId="7" fillId="8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8" borderId="2" xfId="0" applyFont="1" applyFill="1" applyBorder="1" applyAlignment="1">
      <alignment horizontal="center"/>
    </xf>
    <xf numFmtId="0" fontId="7" fillId="14" borderId="3" xfId="0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0" fontId="2" fillId="13" borderId="3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0" fillId="0" borderId="6" xfId="0" applyBorder="1"/>
    <xf numFmtId="0" fontId="3" fillId="2" borderId="0" xfId="0" applyFont="1" applyFill="1" applyAlignment="1">
      <alignment horizontal="center"/>
    </xf>
    <xf numFmtId="0" fontId="3" fillId="5" borderId="0" xfId="0" applyFont="1" applyFill="1"/>
    <xf numFmtId="0" fontId="4" fillId="0" borderId="0" xfId="0" applyFont="1"/>
    <xf numFmtId="0" fontId="5" fillId="6" borderId="0" xfId="0" applyFont="1" applyFill="1"/>
    <xf numFmtId="0" fontId="6" fillId="0" borderId="0" xfId="0" applyFont="1"/>
    <xf numFmtId="0" fontId="3" fillId="9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indexed="64"/>
          <bgColor rgb="FFE2EFDA"/>
        </patternFill>
      </fill>
    </dxf>
  </dxfs>
  <tableStyles count="0" defaultTableStyle="TableStyleMedium9" defaultPivotStyle="PivotStyleLight16"/>
  <colors>
    <mruColors>
      <color rgb="FFFBF3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kcorp-my.sharepoint.com/personal/chris_smith_mkcorp_com/Documents/SMIRTINGS%20SURVIVOR%20EXTRAVAGANZA%20NUMBER%202.xlsx" TargetMode="External"/><Relationship Id="rId1" Type="http://schemas.openxmlformats.org/officeDocument/2006/relationships/externalLinkPath" Target="SMIRTINGS%20SURVIVOR%20EXTRAVAGANZA%20NUMB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ams"/>
      <sheetName val="Placements"/>
      <sheetName val="Episode Predictions"/>
      <sheetName val="Golden Snitch"/>
      <sheetName val="Scores"/>
      <sheetName val="Dashboard"/>
      <sheetName val="Chart Data"/>
      <sheetName val="Power Rankings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Episode</v>
          </cell>
          <cell r="G1" t="str">
            <v>Episode</v>
          </cell>
        </row>
        <row r="2">
          <cell r="M2">
            <v>13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2</v>
      </c>
      <c r="B6" t="s">
        <v>7</v>
      </c>
    </row>
    <row r="7" spans="1:2" x14ac:dyDescent="0.35">
      <c r="A7" t="s">
        <v>8</v>
      </c>
      <c r="B7" t="s">
        <v>9</v>
      </c>
    </row>
    <row r="8" spans="1:2" x14ac:dyDescent="0.35">
      <c r="A8" t="s">
        <v>8</v>
      </c>
      <c r="B8" t="s">
        <v>10</v>
      </c>
    </row>
    <row r="9" spans="1:2" x14ac:dyDescent="0.35">
      <c r="A9" t="s">
        <v>8</v>
      </c>
      <c r="B9" t="s">
        <v>11</v>
      </c>
    </row>
    <row r="10" spans="1:2" x14ac:dyDescent="0.35">
      <c r="A10" t="s">
        <v>8</v>
      </c>
      <c r="B10" t="s">
        <v>12</v>
      </c>
    </row>
    <row r="11" spans="1:2" x14ac:dyDescent="0.35">
      <c r="A11" t="s">
        <v>8</v>
      </c>
      <c r="B11" t="s">
        <v>13</v>
      </c>
    </row>
    <row r="12" spans="1:2" x14ac:dyDescent="0.35">
      <c r="A12" t="s">
        <v>14</v>
      </c>
      <c r="B12" t="s">
        <v>15</v>
      </c>
    </row>
    <row r="13" spans="1:2" x14ac:dyDescent="0.35">
      <c r="A13" t="s">
        <v>14</v>
      </c>
      <c r="B13" t="s">
        <v>16</v>
      </c>
    </row>
    <row r="14" spans="1:2" x14ac:dyDescent="0.35">
      <c r="A14" t="s">
        <v>14</v>
      </c>
      <c r="B14" t="s">
        <v>17</v>
      </c>
    </row>
    <row r="15" spans="1:2" x14ac:dyDescent="0.35">
      <c r="A15" t="s">
        <v>14</v>
      </c>
      <c r="B15" t="s">
        <v>18</v>
      </c>
    </row>
    <row r="16" spans="1:2" x14ac:dyDescent="0.35">
      <c r="A16" t="s">
        <v>14</v>
      </c>
      <c r="B16" t="s">
        <v>19</v>
      </c>
    </row>
    <row r="17" spans="1:2" x14ac:dyDescent="0.35">
      <c r="A17" t="s">
        <v>20</v>
      </c>
      <c r="B17" t="s">
        <v>21</v>
      </c>
    </row>
    <row r="18" spans="1:2" x14ac:dyDescent="0.35">
      <c r="A18" t="s">
        <v>20</v>
      </c>
      <c r="B18" t="s">
        <v>22</v>
      </c>
    </row>
    <row r="19" spans="1:2" x14ac:dyDescent="0.35">
      <c r="A19" t="s">
        <v>20</v>
      </c>
      <c r="B19" t="s">
        <v>23</v>
      </c>
    </row>
    <row r="20" spans="1:2" x14ac:dyDescent="0.35">
      <c r="A20" t="s">
        <v>20</v>
      </c>
      <c r="B20" t="s">
        <v>24</v>
      </c>
    </row>
    <row r="21" spans="1:2" x14ac:dyDescent="0.35">
      <c r="A21" t="s">
        <v>20</v>
      </c>
      <c r="B21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workbookViewId="0">
      <pane ySplit="1" topLeftCell="A2" activePane="bottomLeft" state="frozen"/>
      <selection pane="bottomLeft" activeCell="G22" sqref="G22"/>
    </sheetView>
  </sheetViews>
  <sheetFormatPr defaultRowHeight="14.5" x14ac:dyDescent="0.35"/>
  <cols>
    <col min="1" max="1" width="25" customWidth="1"/>
    <col min="2" max="3" width="10" customWidth="1"/>
    <col min="4" max="4" width="25" customWidth="1"/>
    <col min="5" max="8" width="12" customWidth="1"/>
  </cols>
  <sheetData>
    <row r="1" spans="1:8" x14ac:dyDescent="0.35">
      <c r="A1" s="1" t="s">
        <v>1</v>
      </c>
      <c r="B1" s="1" t="s">
        <v>26</v>
      </c>
      <c r="C1" s="1" t="s">
        <v>27</v>
      </c>
      <c r="D1" s="1" t="s">
        <v>0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35">
      <c r="A2" t="s">
        <v>3</v>
      </c>
      <c r="B2">
        <f>IFERROR(IF(VLOOKUP(A2,'Placements (2)'!$A$2:$C$25,2,FALSE)="","",VLOOKUP(A2,'Placements (2)'!$A$2:$C$25,2,FALSE)),"")</f>
        <v>18</v>
      </c>
      <c r="C2">
        <f>IFERROR(IF(VLOOKUP(A2,'Placements (2)'!$A$2:$C$25,3,FALSE)="","",VLOOKUP(A2,'Placements (2)'!$A$2:$C$25,3,FALSE)),"")</f>
        <v>5</v>
      </c>
      <c r="D2" t="s">
        <v>2</v>
      </c>
      <c r="E2">
        <f t="shared" ref="E2:E21" si="0">IF(B2&lt;&gt;"",25-B2,"")</f>
        <v>7</v>
      </c>
      <c r="F2">
        <f t="shared" ref="F2:F21" si="1">IF(B2&lt;&gt;"",IF(B2&lt;=3,10,0),"")</f>
        <v>0</v>
      </c>
      <c r="G2">
        <f t="shared" ref="G2:G21" si="2">IF(B2&lt;&gt;"",IF(B2=1,10,0),"")</f>
        <v>0</v>
      </c>
      <c r="H2">
        <f t="shared" ref="H2:H21" si="3">IF(B2&lt;&gt;"",E2+F2+G2,"")</f>
        <v>7</v>
      </c>
    </row>
    <row r="3" spans="1:8" x14ac:dyDescent="0.35">
      <c r="A3" t="s">
        <v>4</v>
      </c>
      <c r="B3">
        <f>IFERROR(IF(VLOOKUP(A3,'Placements (2)'!$A$2:$C$25,2,FALSE)="","",VLOOKUP(A3,'Placements (2)'!$A$2:$C$25,2,FALSE)),"")</f>
        <v>3</v>
      </c>
      <c r="C3">
        <f>IFERROR(IF(VLOOKUP(A3,'Placements (2)'!$A$2:$C$25,3,FALSE)="","",VLOOKUP(A3,'Placements (2)'!$A$2:$C$25,3,FALSE)),"")</f>
        <v>13</v>
      </c>
      <c r="D3" t="s">
        <v>2</v>
      </c>
      <c r="E3">
        <f t="shared" si="0"/>
        <v>22</v>
      </c>
      <c r="F3">
        <f t="shared" si="1"/>
        <v>10</v>
      </c>
      <c r="G3">
        <f t="shared" si="2"/>
        <v>0</v>
      </c>
      <c r="H3">
        <f t="shared" si="3"/>
        <v>32</v>
      </c>
    </row>
    <row r="4" spans="1:8" x14ac:dyDescent="0.35">
      <c r="A4" t="s">
        <v>5</v>
      </c>
      <c r="B4">
        <f>IFERROR(IF(VLOOKUP(A4,'Placements (2)'!$A$2:$C$25,2,FALSE)="","",VLOOKUP(A4,'Placements (2)'!$A$2:$C$25,2,FALSE)),"")</f>
        <v>11</v>
      </c>
      <c r="C4">
        <f>IFERROR(IF(VLOOKUP(A4,'Placements (2)'!$A$2:$C$25,3,FALSE)="","",VLOOKUP(A4,'Placements (2)'!$A$2:$C$25,3,FALSE)),"")</f>
        <v>9</v>
      </c>
      <c r="D4" t="s">
        <v>2</v>
      </c>
      <c r="E4">
        <f t="shared" si="0"/>
        <v>14</v>
      </c>
      <c r="F4">
        <f t="shared" si="1"/>
        <v>0</v>
      </c>
      <c r="G4">
        <f t="shared" si="2"/>
        <v>0</v>
      </c>
      <c r="H4">
        <f t="shared" si="3"/>
        <v>14</v>
      </c>
    </row>
    <row r="5" spans="1:8" x14ac:dyDescent="0.35">
      <c r="A5" t="s">
        <v>6</v>
      </c>
      <c r="B5">
        <f>IFERROR(IF(VLOOKUP(A5,'Placements (2)'!$A$2:$C$25,2,FALSE)="","",VLOOKUP(A5,'Placements (2)'!$A$2:$C$25,2,FALSE)),"")</f>
        <v>22</v>
      </c>
      <c r="C5">
        <f>IFERROR(IF(VLOOKUP(A5,'Placements (2)'!$A$2:$C$25,3,FALSE)="","",VLOOKUP(A5,'Placements (2)'!$A$2:$C$25,3,FALSE)),"")</f>
        <v>2</v>
      </c>
      <c r="D5" t="s">
        <v>2</v>
      </c>
      <c r="E5">
        <f t="shared" si="0"/>
        <v>3</v>
      </c>
      <c r="F5">
        <f t="shared" si="1"/>
        <v>0</v>
      </c>
      <c r="G5">
        <f t="shared" si="2"/>
        <v>0</v>
      </c>
      <c r="H5">
        <f t="shared" si="3"/>
        <v>3</v>
      </c>
    </row>
    <row r="6" spans="1:8" x14ac:dyDescent="0.35">
      <c r="A6" t="s">
        <v>7</v>
      </c>
      <c r="B6">
        <f>IFERROR(IF(VLOOKUP(A6,'Placements (2)'!$A$2:$C$25,2,FALSE)="","",VLOOKUP(A6,'Placements (2)'!$A$2:$C$25,2,FALSE)),"")</f>
        <v>10</v>
      </c>
      <c r="C6">
        <f>IFERROR(IF(VLOOKUP(A6,'Placements (2)'!$A$2:$C$25,3,FALSE)="","",VLOOKUP(A6,'Placements (2)'!$A$2:$C$25,3,FALSE)),"")</f>
        <v>10</v>
      </c>
      <c r="D6" t="s">
        <v>2</v>
      </c>
      <c r="E6">
        <f t="shared" si="0"/>
        <v>15</v>
      </c>
      <c r="F6">
        <f t="shared" si="1"/>
        <v>0</v>
      </c>
      <c r="G6">
        <f t="shared" si="2"/>
        <v>0</v>
      </c>
      <c r="H6">
        <f t="shared" si="3"/>
        <v>15</v>
      </c>
    </row>
    <row r="7" spans="1:8" x14ac:dyDescent="0.35">
      <c r="A7" t="s">
        <v>9</v>
      </c>
      <c r="B7">
        <f>IFERROR(IF(VLOOKUP(A7,'Placements (2)'!$A$2:$C$25,2,FALSE)="","",VLOOKUP(A7,'Placements (2)'!$A$2:$C$25,2,FALSE)),"")</f>
        <v>15</v>
      </c>
      <c r="C7">
        <f>IFERROR(IF(VLOOKUP(A7,'Placements (2)'!$A$2:$C$25,3,FALSE)="","",VLOOKUP(A7,'Placements (2)'!$A$2:$C$25,3,FALSE)),"")</f>
        <v>6</v>
      </c>
      <c r="D7" t="s">
        <v>8</v>
      </c>
      <c r="E7">
        <f t="shared" si="0"/>
        <v>10</v>
      </c>
      <c r="F7">
        <f t="shared" si="1"/>
        <v>0</v>
      </c>
      <c r="G7">
        <f t="shared" si="2"/>
        <v>0</v>
      </c>
      <c r="H7">
        <f t="shared" si="3"/>
        <v>10</v>
      </c>
    </row>
    <row r="8" spans="1:8" x14ac:dyDescent="0.35">
      <c r="A8" t="s">
        <v>10</v>
      </c>
      <c r="B8">
        <f>IFERROR(IF(VLOOKUP(A8,'Placements (2)'!$A$2:$C$25,2,FALSE)="","",VLOOKUP(A8,'Placements (2)'!$A$2:$C$25,2,FALSE)),"")</f>
        <v>8</v>
      </c>
      <c r="C8">
        <f>IFERROR(IF(VLOOKUP(A8,'Placements (2)'!$A$2:$C$25,3,FALSE)="","",VLOOKUP(A8,'Placements (2)'!$A$2:$C$25,3,FALSE)),"")</f>
        <v>11</v>
      </c>
      <c r="D8" t="s">
        <v>8</v>
      </c>
      <c r="E8">
        <f t="shared" si="0"/>
        <v>17</v>
      </c>
      <c r="F8">
        <f t="shared" si="1"/>
        <v>0</v>
      </c>
      <c r="G8">
        <f t="shared" si="2"/>
        <v>0</v>
      </c>
      <c r="H8">
        <f t="shared" si="3"/>
        <v>17</v>
      </c>
    </row>
    <row r="9" spans="1:8" x14ac:dyDescent="0.35">
      <c r="A9" t="s">
        <v>11</v>
      </c>
      <c r="B9">
        <f>IFERROR(IF(VLOOKUP(A9,'Placements (2)'!$A$2:$C$25,2,FALSE)="","",VLOOKUP(A9,'Placements (2)'!$A$2:$C$25,2,FALSE)),"")</f>
        <v>1</v>
      </c>
      <c r="C9">
        <f>IFERROR(IF(VLOOKUP(A9,'Placements (2)'!$A$2:$C$25,3,FALSE)="","",VLOOKUP(A9,'Placements (2)'!$A$2:$C$25,3,FALSE)),"")</f>
        <v>13</v>
      </c>
      <c r="D9" t="s">
        <v>8</v>
      </c>
      <c r="E9">
        <f t="shared" si="0"/>
        <v>24</v>
      </c>
      <c r="F9">
        <f t="shared" si="1"/>
        <v>10</v>
      </c>
      <c r="G9">
        <f t="shared" si="2"/>
        <v>10</v>
      </c>
      <c r="H9">
        <f t="shared" si="3"/>
        <v>44</v>
      </c>
    </row>
    <row r="10" spans="1:8" x14ac:dyDescent="0.35">
      <c r="A10" t="s">
        <v>12</v>
      </c>
      <c r="B10">
        <f>IFERROR(IF(VLOOKUP(A10,'Placements (2)'!$A$2:$C$25,2,FALSE)="","",VLOOKUP(A10,'Placements (2)'!$A$2:$C$25,2,FALSE)),"")</f>
        <v>20</v>
      </c>
      <c r="C10">
        <f>IFERROR(IF(VLOOKUP(A10,'Placements (2)'!$A$2:$C$25,3,FALSE)="","",VLOOKUP(A10,'Placements (2)'!$A$2:$C$25,3,FALSE)),"")</f>
        <v>4</v>
      </c>
      <c r="D10" t="s">
        <v>8</v>
      </c>
      <c r="E10">
        <f t="shared" si="0"/>
        <v>5</v>
      </c>
      <c r="F10">
        <f t="shared" si="1"/>
        <v>0</v>
      </c>
      <c r="G10">
        <f t="shared" si="2"/>
        <v>0</v>
      </c>
      <c r="H10">
        <f t="shared" si="3"/>
        <v>5</v>
      </c>
    </row>
    <row r="11" spans="1:8" x14ac:dyDescent="0.35">
      <c r="A11" t="s">
        <v>13</v>
      </c>
      <c r="B11">
        <f>IFERROR(IF(VLOOKUP(A11,'Placements (2)'!$A$2:$C$25,2,FALSE)="","",VLOOKUP(A11,'Placements (2)'!$A$2:$C$25,2,FALSE)),"")</f>
        <v>5</v>
      </c>
      <c r="C11">
        <f>IFERROR(IF(VLOOKUP(A11,'Placements (2)'!$A$2:$C$25,3,FALSE)="","",VLOOKUP(A11,'Placements (2)'!$A$2:$C$25,3,FALSE)),"")</f>
        <v>13</v>
      </c>
      <c r="D11" t="s">
        <v>8</v>
      </c>
      <c r="E11">
        <f t="shared" si="0"/>
        <v>20</v>
      </c>
      <c r="F11">
        <f t="shared" si="1"/>
        <v>0</v>
      </c>
      <c r="G11">
        <f t="shared" si="2"/>
        <v>0</v>
      </c>
      <c r="H11">
        <f t="shared" si="3"/>
        <v>20</v>
      </c>
    </row>
    <row r="12" spans="1:8" x14ac:dyDescent="0.35">
      <c r="A12" t="s">
        <v>15</v>
      </c>
      <c r="B12">
        <f>IFERROR(IF(VLOOKUP(A12,'Placements (2)'!$A$2:$C$25,2,FALSE)="","",VLOOKUP(A12,'Placements (2)'!$A$2:$C$25,2,FALSE)),"")</f>
        <v>15</v>
      </c>
      <c r="C12">
        <f>IFERROR(IF(VLOOKUP(A12,'Placements (2)'!$A$2:$C$25,3,FALSE)="","",VLOOKUP(A12,'Placements (2)'!$A$2:$C$25,3,FALSE)),"")</f>
        <v>6</v>
      </c>
      <c r="D12" t="s">
        <v>14</v>
      </c>
      <c r="E12">
        <f t="shared" si="0"/>
        <v>10</v>
      </c>
      <c r="F12">
        <f t="shared" si="1"/>
        <v>0</v>
      </c>
      <c r="G12">
        <f t="shared" si="2"/>
        <v>0</v>
      </c>
      <c r="H12">
        <f t="shared" si="3"/>
        <v>10</v>
      </c>
    </row>
    <row r="13" spans="1:8" x14ac:dyDescent="0.35">
      <c r="A13" t="s">
        <v>16</v>
      </c>
      <c r="B13">
        <f>IFERROR(IF(VLOOKUP(A13,'Placements (2)'!$A$2:$C$25,2,FALSE)="","",VLOOKUP(A13,'Placements (2)'!$A$2:$C$25,2,FALSE)),"")</f>
        <v>15</v>
      </c>
      <c r="C13">
        <f>IFERROR(IF(VLOOKUP(A13,'Placements (2)'!$A$2:$C$25,3,FALSE)="","",VLOOKUP(A13,'Placements (2)'!$A$2:$C$25,3,FALSE)),"")</f>
        <v>6</v>
      </c>
      <c r="D13" t="s">
        <v>14</v>
      </c>
      <c r="E13">
        <f t="shared" si="0"/>
        <v>10</v>
      </c>
      <c r="F13">
        <f t="shared" si="1"/>
        <v>0</v>
      </c>
      <c r="G13">
        <f t="shared" si="2"/>
        <v>0</v>
      </c>
      <c r="H13">
        <f t="shared" si="3"/>
        <v>10</v>
      </c>
    </row>
    <row r="14" spans="1:8" x14ac:dyDescent="0.35">
      <c r="A14" t="s">
        <v>17</v>
      </c>
      <c r="B14">
        <f>IFERROR(IF(VLOOKUP(A14,'Placements (2)'!$A$2:$C$25,2,FALSE)="","",VLOOKUP(A14,'Placements (2)'!$A$2:$C$25,2,FALSE)),"")</f>
        <v>21</v>
      </c>
      <c r="C14">
        <f>IFERROR(IF(VLOOKUP(A14,'Placements (2)'!$A$2:$C$25,3,FALSE)="","",VLOOKUP(A14,'Placements (2)'!$A$2:$C$25,3,FALSE)),"")</f>
        <v>3</v>
      </c>
      <c r="D14" t="s">
        <v>14</v>
      </c>
      <c r="E14">
        <f t="shared" si="0"/>
        <v>4</v>
      </c>
      <c r="F14">
        <f t="shared" si="1"/>
        <v>0</v>
      </c>
      <c r="G14">
        <f t="shared" si="2"/>
        <v>0</v>
      </c>
      <c r="H14">
        <f t="shared" si="3"/>
        <v>4</v>
      </c>
    </row>
    <row r="15" spans="1:8" x14ac:dyDescent="0.35">
      <c r="A15" t="s">
        <v>18</v>
      </c>
      <c r="B15">
        <f>IFERROR(IF(VLOOKUP(A15,'Placements (2)'!$A$2:$C$25,2,FALSE)="","",VLOOKUP(A15,'Placements (2)'!$A$2:$C$25,2,FALSE)),"")</f>
        <v>7</v>
      </c>
      <c r="C15">
        <f>IFERROR(IF(VLOOKUP(A15,'Placements (2)'!$A$2:$C$25,3,FALSE)="","",VLOOKUP(A15,'Placements (2)'!$A$2:$C$25,3,FALSE)),"")</f>
        <v>12</v>
      </c>
      <c r="D15" t="s">
        <v>14</v>
      </c>
      <c r="E15">
        <f t="shared" si="0"/>
        <v>18</v>
      </c>
      <c r="F15">
        <f t="shared" si="1"/>
        <v>0</v>
      </c>
      <c r="G15">
        <f t="shared" si="2"/>
        <v>0</v>
      </c>
      <c r="H15">
        <f t="shared" si="3"/>
        <v>18</v>
      </c>
    </row>
    <row r="16" spans="1:8" x14ac:dyDescent="0.35">
      <c r="A16" t="s">
        <v>19</v>
      </c>
      <c r="B16">
        <f>IFERROR(IF(VLOOKUP(A16,'Placements (2)'!$A$2:$C$25,2,FALSE)="","",VLOOKUP(A16,'Placements (2)'!$A$2:$C$25,2,FALSE)),"")</f>
        <v>12</v>
      </c>
      <c r="C16">
        <f>IFERROR(IF(VLOOKUP(A16,'Placements (2)'!$A$2:$C$25,3,FALSE)="","",VLOOKUP(A16,'Placements (2)'!$A$2:$C$25,3,FALSE)),"")</f>
        <v>8</v>
      </c>
      <c r="D16" t="s">
        <v>14</v>
      </c>
      <c r="E16">
        <f t="shared" si="0"/>
        <v>13</v>
      </c>
      <c r="F16">
        <f t="shared" si="1"/>
        <v>0</v>
      </c>
      <c r="G16">
        <f t="shared" si="2"/>
        <v>0</v>
      </c>
      <c r="H16">
        <f t="shared" si="3"/>
        <v>13</v>
      </c>
    </row>
    <row r="17" spans="1:8" x14ac:dyDescent="0.35">
      <c r="A17" t="s">
        <v>21</v>
      </c>
      <c r="B17">
        <f>IFERROR(IF(VLOOKUP(A17,'Placements (2)'!$A$2:$C$25,2,FALSE)="","",VLOOKUP(A17,'Placements (2)'!$A$2:$C$25,2,FALSE)),"")</f>
        <v>2</v>
      </c>
      <c r="C17">
        <f>IFERROR(IF(VLOOKUP(A17,'Placements (2)'!$A$2:$C$25,3,FALSE)="","",VLOOKUP(A17,'Placements (2)'!$A$2:$C$25,3,FALSE)),"")</f>
        <v>13</v>
      </c>
      <c r="D17" t="s">
        <v>20</v>
      </c>
      <c r="E17">
        <f t="shared" si="0"/>
        <v>23</v>
      </c>
      <c r="F17">
        <f t="shared" si="1"/>
        <v>10</v>
      </c>
      <c r="G17">
        <f t="shared" si="2"/>
        <v>0</v>
      </c>
      <c r="H17">
        <f t="shared" si="3"/>
        <v>33</v>
      </c>
    </row>
    <row r="18" spans="1:8" x14ac:dyDescent="0.35">
      <c r="A18" t="s">
        <v>22</v>
      </c>
      <c r="B18">
        <f>IFERROR(IF(VLOOKUP(A18,'Placements (2)'!$A$2:$C$25,2,FALSE)="","",VLOOKUP(A18,'Placements (2)'!$A$2:$C$25,2,FALSE)),"")</f>
        <v>18</v>
      </c>
      <c r="C18">
        <f>IFERROR(IF(VLOOKUP(A18,'Placements (2)'!$A$2:$C$25,3,FALSE)="","",VLOOKUP(A18,'Placements (2)'!$A$2:$C$25,3,FALSE)),"")</f>
        <v>5</v>
      </c>
      <c r="D18" t="s">
        <v>20</v>
      </c>
      <c r="E18">
        <f t="shared" si="0"/>
        <v>7</v>
      </c>
      <c r="F18">
        <f t="shared" si="1"/>
        <v>0</v>
      </c>
      <c r="G18">
        <f t="shared" si="2"/>
        <v>0</v>
      </c>
      <c r="H18">
        <f t="shared" si="3"/>
        <v>7</v>
      </c>
    </row>
    <row r="19" spans="1:8" x14ac:dyDescent="0.35">
      <c r="A19" t="s">
        <v>23</v>
      </c>
      <c r="B19">
        <f>IFERROR(IF(VLOOKUP(A19,'Placements (2)'!$A$2:$C$25,2,FALSE)="","",VLOOKUP(A19,'Placements (2)'!$A$2:$C$25,2,FALSE)),"")</f>
        <v>6</v>
      </c>
      <c r="C19">
        <f>IFERROR(IF(VLOOKUP(A19,'Placements (2)'!$A$2:$C$25,3,FALSE)="","",VLOOKUP(A19,'Placements (2)'!$A$2:$C$25,3,FALSE)),"")</f>
        <v>12</v>
      </c>
      <c r="D19" t="s">
        <v>20</v>
      </c>
      <c r="E19">
        <f t="shared" si="0"/>
        <v>19</v>
      </c>
      <c r="F19">
        <f t="shared" si="1"/>
        <v>0</v>
      </c>
      <c r="G19">
        <f t="shared" si="2"/>
        <v>0</v>
      </c>
      <c r="H19">
        <f t="shared" si="3"/>
        <v>19</v>
      </c>
    </row>
    <row r="20" spans="1:8" x14ac:dyDescent="0.35">
      <c r="A20" t="s">
        <v>24</v>
      </c>
      <c r="B20">
        <f>IFERROR(IF(VLOOKUP(A20,'Placements (2)'!$A$2:$C$25,2,FALSE)="","",VLOOKUP(A20,'Placements (2)'!$A$2:$C$25,2,FALSE)),"")</f>
        <v>4</v>
      </c>
      <c r="C20">
        <f>IFERROR(IF(VLOOKUP(A20,'Placements (2)'!$A$2:$C$25,3,FALSE)="","",VLOOKUP(A20,'Placements (2)'!$A$2:$C$25,3,FALSE)),"")</f>
        <v>13</v>
      </c>
      <c r="D20" t="s">
        <v>20</v>
      </c>
      <c r="E20">
        <f t="shared" si="0"/>
        <v>21</v>
      </c>
      <c r="F20">
        <f t="shared" si="1"/>
        <v>0</v>
      </c>
      <c r="G20">
        <f t="shared" si="2"/>
        <v>0</v>
      </c>
      <c r="H20">
        <f t="shared" si="3"/>
        <v>21</v>
      </c>
    </row>
    <row r="21" spans="1:8" x14ac:dyDescent="0.35">
      <c r="A21" t="s">
        <v>25</v>
      </c>
      <c r="B21">
        <f>IFERROR(IF(VLOOKUP(A21,'Placements (2)'!$A$2:$C$25,2,FALSE)="","",VLOOKUP(A21,'Placements (2)'!$A$2:$C$25,2,FALSE)),"")</f>
        <v>14</v>
      </c>
      <c r="C21">
        <f>IFERROR(IF(VLOOKUP(A21,'Placements (2)'!$A$2:$C$25,3,FALSE)="","",VLOOKUP(A21,'Placements (2)'!$A$2:$C$25,3,FALSE)),"")</f>
        <v>7</v>
      </c>
      <c r="D21" t="s">
        <v>20</v>
      </c>
      <c r="E21">
        <f t="shared" si="0"/>
        <v>11</v>
      </c>
      <c r="F21">
        <f t="shared" si="1"/>
        <v>0</v>
      </c>
      <c r="G21">
        <f t="shared" si="2"/>
        <v>0</v>
      </c>
      <c r="H21">
        <f t="shared" si="3"/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2" width="25" customWidth="1"/>
    <col min="3" max="3" width="15" customWidth="1"/>
  </cols>
  <sheetData>
    <row r="1" spans="1:3" x14ac:dyDescent="0.35">
      <c r="A1" s="1" t="s">
        <v>0</v>
      </c>
      <c r="B1" s="1" t="s">
        <v>32</v>
      </c>
      <c r="C1" s="1" t="s">
        <v>33</v>
      </c>
    </row>
    <row r="2" spans="1:3" x14ac:dyDescent="0.35">
      <c r="A2" t="s">
        <v>2</v>
      </c>
      <c r="B2" t="s">
        <v>3</v>
      </c>
      <c r="C2">
        <f>IF(B2&lt;&gt;"",IF(VLOOKUP(B2,Placements!$A:$B,2,FALSE)=1,25,0),"")</f>
        <v>0</v>
      </c>
    </row>
    <row r="3" spans="1:3" x14ac:dyDescent="0.35">
      <c r="A3" t="s">
        <v>8</v>
      </c>
      <c r="B3" t="s">
        <v>11</v>
      </c>
      <c r="C3">
        <f>IF(B3&lt;&gt;"",IF(VLOOKUP(B3,Placements!$A:$B,2,FALSE)=1,25,0),"")</f>
        <v>25</v>
      </c>
    </row>
    <row r="4" spans="1:3" x14ac:dyDescent="0.35">
      <c r="A4" t="s">
        <v>14</v>
      </c>
      <c r="B4" t="s">
        <v>18</v>
      </c>
      <c r="C4">
        <f>IF(B4&lt;&gt;"",IF(VLOOKUP(B4,Placements!$A:$B,2,FALSE)=1,25,0),"")</f>
        <v>0</v>
      </c>
    </row>
    <row r="5" spans="1:3" x14ac:dyDescent="0.35">
      <c r="A5" t="s">
        <v>20</v>
      </c>
      <c r="B5" t="s">
        <v>21</v>
      </c>
      <c r="C5">
        <f>IF(B5&lt;&gt;"",IF(VLOOKUP(B5,Placements!$A:$B,2,FALSE)=1,25,0),"")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25" customWidth="1"/>
    <col min="2" max="4" width="15" customWidth="1"/>
  </cols>
  <sheetData>
    <row r="1" spans="1:4" x14ac:dyDescent="0.35">
      <c r="A1" s="1" t="s">
        <v>0</v>
      </c>
      <c r="B1" s="1" t="s">
        <v>34</v>
      </c>
      <c r="C1" s="1" t="s">
        <v>33</v>
      </c>
      <c r="D1" s="1" t="s">
        <v>31</v>
      </c>
    </row>
    <row r="2" spans="1:4" x14ac:dyDescent="0.35">
      <c r="A2" t="s">
        <v>2</v>
      </c>
      <c r="B2">
        <f>SUMIFS(Placements!$H:$H,Placements!$D:$D,"Jordan Potter")</f>
        <v>71</v>
      </c>
      <c r="C2">
        <f>VLOOKUP("Jordan Potter",'Golden Snitch'!$A:$C,3,FALSE)</f>
        <v>0</v>
      </c>
      <c r="D2">
        <f>B2+C2</f>
        <v>71</v>
      </c>
    </row>
    <row r="3" spans="1:4" x14ac:dyDescent="0.35">
      <c r="A3" t="s">
        <v>8</v>
      </c>
      <c r="B3">
        <f>SUMIFS(Placements!$H:$H,Placements!$D:$D,"Lottie Smith")</f>
        <v>96</v>
      </c>
      <c r="C3">
        <f>VLOOKUP("Lottie Smith",'Golden Snitch'!$A:$C,3,FALSE)</f>
        <v>25</v>
      </c>
      <c r="D3">
        <f>B3+C3</f>
        <v>121</v>
      </c>
    </row>
    <row r="4" spans="1:4" x14ac:dyDescent="0.35">
      <c r="A4" t="s">
        <v>14</v>
      </c>
      <c r="B4">
        <f>SUMIFS(Placements!$H:$H,Placements!$D:$D,"Corn HoleSanders")</f>
        <v>55</v>
      </c>
      <c r="C4">
        <f>VLOOKUP("Corn HoleSanders",'Golden Snitch'!$A:$C,3,FALSE)</f>
        <v>0</v>
      </c>
      <c r="D4">
        <f>B4+C4</f>
        <v>55</v>
      </c>
    </row>
    <row r="5" spans="1:4" x14ac:dyDescent="0.35">
      <c r="A5" t="s">
        <v>20</v>
      </c>
      <c r="B5">
        <f>SUMIFS(Placements!$H:$H,Placements!$D:$D,"Christopher Smith")</f>
        <v>91</v>
      </c>
      <c r="C5">
        <f>VLOOKUP("Christopher Smith",'Golden Snitch'!$A:$C,3,FALSE)</f>
        <v>0</v>
      </c>
      <c r="D5">
        <f>B5+C5</f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2"/>
  <sheetViews>
    <sheetView zoomScale="90" zoomScaleNormal="90" workbookViewId="0">
      <pane ySplit="1" topLeftCell="A2" activePane="bottomLeft" state="frozen"/>
      <selection pane="bottomLeft" activeCell="E27" sqref="E27"/>
    </sheetView>
  </sheetViews>
  <sheetFormatPr defaultRowHeight="14.5" x14ac:dyDescent="0.35"/>
  <cols>
    <col min="1" max="1" width="23.6328125" customWidth="1"/>
    <col min="2" max="2" width="20" style="2" customWidth="1"/>
    <col min="3" max="3" width="21.81640625" style="2" customWidth="1"/>
    <col min="4" max="4" width="14.54296875" style="2" customWidth="1"/>
    <col min="5" max="5" width="16.1796875" style="2" bestFit="1" customWidth="1"/>
    <col min="6" max="6" width="15.90625" style="2" bestFit="1" customWidth="1"/>
    <col min="7" max="7" width="12.7265625" style="2" customWidth="1"/>
    <col min="8" max="8" width="1.81640625" hidden="1" customWidth="1"/>
    <col min="9" max="10" width="29.08984375" customWidth="1"/>
    <col min="11" max="12" width="4.54296875" hidden="1" customWidth="1"/>
    <col min="13" max="13" width="23.6328125" customWidth="1"/>
    <col min="14" max="16" width="20" customWidth="1"/>
    <col min="17" max="17" width="10.90625" customWidth="1"/>
  </cols>
  <sheetData>
    <row r="1" spans="1:12" s="2" customFormat="1" ht="22" customHeight="1" x14ac:dyDescent="0.4">
      <c r="A1" s="42" t="s">
        <v>48</v>
      </c>
      <c r="B1" s="42"/>
      <c r="C1" s="42"/>
      <c r="D1" s="42"/>
      <c r="E1" s="42"/>
      <c r="F1" s="42"/>
      <c r="G1"/>
      <c r="H1"/>
      <c r="I1" s="34" t="s">
        <v>54</v>
      </c>
      <c r="J1" s="34"/>
      <c r="K1"/>
      <c r="L1"/>
    </row>
    <row r="2" spans="1:12" x14ac:dyDescent="0.35">
      <c r="A2" s="15" t="s">
        <v>43</v>
      </c>
      <c r="B2" s="15" t="s">
        <v>0</v>
      </c>
      <c r="C2" s="15" t="s">
        <v>34</v>
      </c>
      <c r="D2" s="15" t="s">
        <v>33</v>
      </c>
      <c r="E2" s="15" t="s">
        <v>31</v>
      </c>
      <c r="F2" s="15" t="s">
        <v>35</v>
      </c>
      <c r="G2"/>
      <c r="I2" s="29" t="str" cm="1">
        <f t="array" ref="I2">INDEX(_xlfn.UNIQUE(Teams!A2:A21),1)</f>
        <v>Jordan Potter</v>
      </c>
      <c r="J2" s="30" t="str" cm="1">
        <f t="array" ref="J2">INDEX(_xlfn.UNIQUE(Teams!A2:A21),2)</f>
        <v>Lottie Smith</v>
      </c>
    </row>
    <row r="3" spans="1:12" x14ac:dyDescent="0.35">
      <c r="A3" s="10" t="s">
        <v>49</v>
      </c>
      <c r="B3" s="6" t="str" cm="1">
        <f t="array" ref="B3">INDEX(_xlfn.SORTBY(Scores!A2:A5,Scores!D2:D5,-1),1)</f>
        <v>Lottie Smith</v>
      </c>
      <c r="C3" s="6" cm="1">
        <f t="array" ref="C3">INDEX(_xlfn.SORTBY(Scores!B2:B5,Scores!D2:D5,-1),1)</f>
        <v>96</v>
      </c>
      <c r="D3" s="6" cm="1">
        <f t="array" ref="D3">INDEX(_xlfn.SORTBY(Scores!C2:C5,Scores!D2:D5,-1),1)</f>
        <v>25</v>
      </c>
      <c r="E3" s="10" cm="1">
        <f t="array" ref="E3">INDEX(_xlfn.SORTBY(Scores!D2:D5,Scores!D2:D5,-1),1)</f>
        <v>121</v>
      </c>
      <c r="F3" s="10" t="str">
        <f>CHOOSE(RANK(VLOOKUP(B3,$C$10:$D$13,2,FALSE),$D$10:$D$13,0),"🔥 #1","💪 #2","📈 #3","📉 #4")</f>
        <v>🔥 #1</v>
      </c>
      <c r="G3"/>
      <c r="I3" s="33" t="str" cm="1">
        <f t="array" ref="I3:I7">_xlfn.MAP(_xlfn._xlws.FILTER(Teams!B2:B21,Teams!A2:A21=I2),_xlfn.LAMBDA(_xlpm.p,_xlpm.p&amp;IF(ISNUMBER(VLOOKUP(_xlpm.p,Placements!A:B,2,FALSE))," ❌"," ✅")))</f>
        <v>Charlie Davis ❌</v>
      </c>
      <c r="J3" s="33" t="str" cm="1">
        <f t="array" ref="J3:J7">_xlfn.MAP(_xlfn._xlws.FILTER(Teams!B2:B21,Teams!A2:A21=J2),_xlfn.LAMBDA(_xlpm.p,_xlpm.p&amp;IF(ISNUMBER(VLOOKUP(_xlpm.p,Placements!A:B,2,FALSE))," ❌"," ✅")))</f>
        <v>Colby Donaldson ❌</v>
      </c>
    </row>
    <row r="4" spans="1:12" x14ac:dyDescent="0.35">
      <c r="A4" s="11" t="s">
        <v>50</v>
      </c>
      <c r="B4" s="7" t="str" cm="1">
        <f t="array" ref="B4">INDEX(_xlfn.SORTBY(Scores!A2:A5,Scores!D2:D5,-1),2)</f>
        <v>Christopher Smith</v>
      </c>
      <c r="C4" s="7" cm="1">
        <f t="array" ref="C4">INDEX(_xlfn.SORTBY(Scores!B2:B5,Scores!D2:D5,-1),2)</f>
        <v>91</v>
      </c>
      <c r="D4" s="7" cm="1">
        <f t="array" ref="D4">INDEX(_xlfn.SORTBY(Scores!C2:C5,Scores!D2:D5,-1),2)</f>
        <v>0</v>
      </c>
      <c r="E4" s="11" cm="1">
        <f t="array" ref="E4">INDEX(_xlfn.SORTBY(Scores!D2:D5,Scores!D2:D5,-1),2)</f>
        <v>91</v>
      </c>
      <c r="F4" s="11" t="str">
        <f>CHOOSE(RANK(VLOOKUP(B4,$C$10:$D$13,2,FALSE),$D$10:$D$13,0),"🔥 #1","💪 #2","📈 #3","📉 #4")</f>
        <v>💪 #2</v>
      </c>
      <c r="G4"/>
      <c r="I4" s="13" t="str">
        <v>Joe Hunter ❌</v>
      </c>
      <c r="J4" s="13" t="str">
        <v>Oscar Lusth ❌</v>
      </c>
    </row>
    <row r="5" spans="1:12" x14ac:dyDescent="0.35">
      <c r="A5" s="4" t="s">
        <v>51</v>
      </c>
      <c r="B5" s="8" t="str" cm="1">
        <f t="array" ref="B5">INDEX(_xlfn.SORTBY(Scores!A2:A5,Scores!D2:D5,-1),3)</f>
        <v>Jordan Potter</v>
      </c>
      <c r="C5" s="8" cm="1">
        <f t="array" ref="C5">INDEX(_xlfn.SORTBY(Scores!B2:B5,Scores!D2:D5,-1),3)</f>
        <v>71</v>
      </c>
      <c r="D5" s="8" cm="1">
        <f t="array" ref="D5">INDEX(_xlfn.SORTBY(Scores!C2:C5,Scores!D2:D5,-1),3)</f>
        <v>0</v>
      </c>
      <c r="E5" s="4" cm="1">
        <f t="array" ref="E5">INDEX(_xlfn.SORTBY(Scores!D2:D5,Scores!D2:D5,-1),3)</f>
        <v>71</v>
      </c>
      <c r="F5" s="4" t="str">
        <f>CHOOSE(RANK(VLOOKUP(B5,$C$10:$D$13,2,FALSE),$D$10:$D$13,0),"🔥 #1","💪 #2","📈 #3","📉 #4")</f>
        <v>📈 #3</v>
      </c>
      <c r="G5"/>
      <c r="I5" s="13" t="str">
        <v>Christian Hubicki ❌</v>
      </c>
      <c r="J5" s="13" t="str">
        <v>Aubry Bracco ❌</v>
      </c>
    </row>
    <row r="6" spans="1:12" x14ac:dyDescent="0.35">
      <c r="A6" s="5" t="s">
        <v>52</v>
      </c>
      <c r="B6" s="9" t="str" cm="1">
        <f t="array" ref="B6">INDEX(_xlfn.SORTBY(Scores!A2:A5,Scores!D2:D5,-1),4)</f>
        <v>Corn HoleSanders</v>
      </c>
      <c r="C6" s="9" cm="1">
        <f t="array" ref="C6">INDEX(_xlfn.SORTBY(Scores!B2:B5,Scores!D2:D5,-1),4)</f>
        <v>55</v>
      </c>
      <c r="D6" s="9" cm="1">
        <f t="array" ref="D6">INDEX(_xlfn.SORTBY(Scores!C2:C5,Scores!D2:D5,-1),4)</f>
        <v>0</v>
      </c>
      <c r="E6" s="5" cm="1">
        <f t="array" ref="E6">INDEX(_xlfn.SORTBY(Scores!D2:D5,Scores!D2:D5,-1),4)</f>
        <v>55</v>
      </c>
      <c r="F6" s="5" t="str">
        <f>CHOOSE(RANK(VLOOKUP(B6,$C$10:$D$13,2,FALSE),$D$10:$D$13,0),"🔥 #1","💪 #2","📈 #3","📉 #4")</f>
        <v>📉 #4</v>
      </c>
      <c r="G6"/>
      <c r="I6" s="13" t="str">
        <v>Savannah Louie ❌</v>
      </c>
      <c r="J6" s="13" t="str">
        <v>Mike White ❌</v>
      </c>
    </row>
    <row r="7" spans="1:12" ht="22" customHeight="1" x14ac:dyDescent="0.35">
      <c r="B7"/>
      <c r="C7"/>
      <c r="D7"/>
      <c r="E7"/>
      <c r="F7"/>
      <c r="G7"/>
      <c r="I7" s="14" t="str">
        <v>Stephenie LaGrossa ❌</v>
      </c>
      <c r="J7" s="14" t="str">
        <v>Tiffany Ervin ❌</v>
      </c>
    </row>
    <row r="8" spans="1:12" ht="17" x14ac:dyDescent="0.4">
      <c r="A8" s="39" t="s">
        <v>36</v>
      </c>
      <c r="B8" s="39"/>
      <c r="C8" s="40" t="s">
        <v>40</v>
      </c>
      <c r="D8" s="41"/>
      <c r="E8" s="41"/>
      <c r="F8" s="41"/>
      <c r="G8"/>
    </row>
    <row r="9" spans="1:12" x14ac:dyDescent="0.35">
      <c r="A9" s="12" t="s">
        <v>37</v>
      </c>
      <c r="B9" s="3">
        <f>MAX(Placements!C2:C21)</f>
        <v>13</v>
      </c>
      <c r="C9" s="28" t="s">
        <v>0</v>
      </c>
      <c r="D9" s="15" t="s">
        <v>53</v>
      </c>
      <c r="E9" s="15" t="s">
        <v>45</v>
      </c>
      <c r="F9" s="15" t="s">
        <v>46</v>
      </c>
      <c r="G9"/>
      <c r="I9" s="31" t="str" cm="1">
        <f t="array" ref="I9">INDEX(_xlfn.UNIQUE(Teams!A2:A21),3)</f>
        <v>Corn HoleSanders</v>
      </c>
      <c r="J9" s="32" t="str" cm="1">
        <f t="array" ref="J9">INDEX(_xlfn.UNIQUE(Teams!A2:A21),4)</f>
        <v>Christopher Smith</v>
      </c>
    </row>
    <row r="10" spans="1:12" x14ac:dyDescent="0.35">
      <c r="A10" s="12" t="s">
        <v>38</v>
      </c>
      <c r="B10" s="3">
        <f>COUNTIFS(Placements!B2:B21,"&lt;&gt;")</f>
        <v>20</v>
      </c>
      <c r="C10" s="16" t="str" cm="1">
        <f t="array" ref="C10">_xlfn.LET(_xlpm.t,Scores!A2:A5,_xlpm.p,_xlfn.BYROW(_xlpm.t,_xlfn.LAMBDA(_xlpm.x,VLOOKUP(_xlpm.x,Scores!A:D,4,FALSE)+COUNTIFS(Placements!D2:D21,_xlpm.x,Placements!B2:B21,"")*25-COUNTIFS(Placements!D2:D21,_xlpm.x,Placements!B2:B21,"")*(COUNTIFS(Placements!D2:D21,_xlpm.x,Placements!B2:B21,"")+1)/2+IF(ISNUMBER(VLOOKUP(VLOOKUP(_xlpm.x,'Golden Snitch'!A:B,2,FALSE),Placements!A:B,2,FALSE)),0,25))),INDEX(_xlfn.SORTBY(_xlpm.t,_xlpm.p,-1),1))</f>
        <v>Lottie Smith</v>
      </c>
      <c r="D10" s="17">
        <f>VLOOKUP(C10,Scores!A:D,4,FALSE)+COUNTIFS(Placements!D2:D21,C10,Placements!B2:B21,"")*25-COUNTIFS(Placements!D2:D21,C10,Placements!B2:B21,"")*(COUNTIFS(Placements!D2:D21,C10,Placements!B2:B21,"")+1)/2+IF(ISNUMBER(VLOOKUP(VLOOKUP(C10,'Golden Snitch'!A:B,2,FALSE),Placements!A:B,2,FALSE)),0,25)</f>
        <v>121</v>
      </c>
      <c r="E10" s="18">
        <f>COUNTIFS(Placements!D2:D21,C10,Placements!B2:B21,"")</f>
        <v>0</v>
      </c>
      <c r="F10" s="18">
        <f>COUNTIFS(Placements!D2:D21,C10,Placements!B2:B21,"&lt;&gt;")</f>
        <v>5</v>
      </c>
      <c r="G10"/>
      <c r="I10" s="33" t="str" cm="1">
        <f t="array" ref="I10:I14">_xlfn.MAP(_xlfn._xlws.FILTER(Teams!B2:B21,Teams!A2:A21=I9),_xlfn.LAMBDA(_xlpm.p,_xlpm.p&amp;IF(ISNUMBER(VLOOKUP(_xlpm.p,Placements!A:B,2,FALSE))," ❌"," ✅")))</f>
        <v>Genevieve Mushaluk ❌</v>
      </c>
      <c r="J10" s="33" t="str" cm="1">
        <f t="array" ref="J10:J14">_xlfn.MAP(_xlfn._xlws.FILTER(Teams!B2:B21,Teams!A2:A21=J9),_xlfn.LAMBDA(_xlpm.p,_xlpm.p&amp;IF(ISNUMBER(VLOOKUP(_xlpm.p,Placements!A:B,2,FALSE))," ❌"," ✅")))</f>
        <v>Jonathan Young ❌</v>
      </c>
    </row>
    <row r="11" spans="1:12" x14ac:dyDescent="0.35">
      <c r="A11" s="12" t="s">
        <v>39</v>
      </c>
      <c r="B11" s="3">
        <f>COUNTIFS(Placements!B2:B21,"")</f>
        <v>0</v>
      </c>
      <c r="C11" s="19" t="str" cm="1">
        <f t="array" ref="C11">_xlfn.LET(_xlpm.t,Scores!A2:A5,_xlpm.p,_xlfn.BYROW(_xlpm.t,_xlfn.LAMBDA(_xlpm.x,VLOOKUP(_xlpm.x,Scores!A:D,4,FALSE)+COUNTIFS(Placements!D2:D21,_xlpm.x,Placements!B2:B21,"")*25-COUNTIFS(Placements!D2:D21,_xlpm.x,Placements!B2:B21,"")*(COUNTIFS(Placements!D2:D21,_xlpm.x,Placements!B2:B21,"")+1)/2+IF(ISNUMBER(VLOOKUP(VLOOKUP(_xlpm.x,'Golden Snitch'!A:B,2,FALSE),Placements!A:B,2,FALSE)),0,25))),INDEX(_xlfn.SORTBY(_xlpm.t,_xlpm.p,-1),2))</f>
        <v>Christopher Smith</v>
      </c>
      <c r="D11" s="20">
        <f>VLOOKUP(C11,Scores!A:D,4,FALSE)+COUNTIFS(Placements!D2:D21,C11,Placements!B2:B21,"")*25-COUNTIFS(Placements!D2:D21,C11,Placements!B2:B21,"")*(COUNTIFS(Placements!D2:D21,C11,Placements!B2:B21,"")+1)/2+IF(ISNUMBER(VLOOKUP(VLOOKUP(C11,'Golden Snitch'!A:B,2,FALSE),Placements!A:B,2,FALSE)),0,25)</f>
        <v>91</v>
      </c>
      <c r="E11" s="21">
        <f>COUNTIFS(Placements!D2:D21,C11,Placements!B2:B21,"")</f>
        <v>0</v>
      </c>
      <c r="F11" s="21">
        <f>COUNTIFS(Placements!D2:D21,C11,Placements!B2:B21,"&lt;&gt;")</f>
        <v>5</v>
      </c>
      <c r="G11"/>
      <c r="I11" s="13" t="str">
        <v>Kamilla Karthigesu ❌</v>
      </c>
      <c r="J11" s="13" t="str">
        <v>Angelina Keeley ❌</v>
      </c>
    </row>
    <row r="12" spans="1:12" x14ac:dyDescent="0.35">
      <c r="A12" s="12" t="s">
        <v>56</v>
      </c>
      <c r="B12" s="3" t="str">
        <f>INDEX(Placements!A2:A21,MATCH(MAX(Placements!H2:H21),Placements!H2:H21,0))&amp;" - "&amp;MAX(Placements!H2:H21)&amp;" pts"</f>
        <v>Aubry Bracco - 44 pts</v>
      </c>
      <c r="C12" s="16" t="str" cm="1">
        <f t="array" ref="C12">_xlfn.LET(_xlpm.t,Scores!A2:A5,_xlpm.p,_xlfn.BYROW(_xlpm.t,_xlfn.LAMBDA(_xlpm.x,VLOOKUP(_xlpm.x,Scores!A:D,4,FALSE)+COUNTIFS(Placements!D2:D21,_xlpm.x,Placements!B2:B21,"")*25-COUNTIFS(Placements!D2:D21,_xlpm.x,Placements!B2:B21,"")*(COUNTIFS(Placements!D2:D21,_xlpm.x,Placements!B2:B21,"")+1)/2+IF(ISNUMBER(VLOOKUP(VLOOKUP(_xlpm.x,'Golden Snitch'!A:B,2,FALSE),Placements!A:B,2,FALSE)),0,25))),INDEX(_xlfn.SORTBY(_xlpm.t,_xlpm.p,-1),3))</f>
        <v>Jordan Potter</v>
      </c>
      <c r="D12" s="17">
        <f>VLOOKUP(C12,Scores!A:D,4,FALSE)+COUNTIFS(Placements!D2:D21,C12,Placements!B2:B21,"")*25-COUNTIFS(Placements!D2:D21,C12,Placements!B2:B21,"")*(COUNTIFS(Placements!D2:D21,C12,Placements!B2:B21,"")+1)/2+IF(ISNUMBER(VLOOKUP(VLOOKUP(C12,'Golden Snitch'!A:B,2,FALSE),Placements!A:B,2,FALSE)),0,25)</f>
        <v>71</v>
      </c>
      <c r="E12" s="18">
        <f>COUNTIFS(Placements!D2:D21,C12,Placements!B2:B21,"")</f>
        <v>0</v>
      </c>
      <c r="F12" s="18">
        <f>COUNTIFS(Placements!D2:D21,C12,Placements!B2:B21,"&lt;&gt;")</f>
        <v>5</v>
      </c>
      <c r="G12"/>
      <c r="I12" s="13" t="str">
        <v>Quintavius Burdette ❌</v>
      </c>
      <c r="J12" s="13" t="str">
        <v>Cirie Fields ❌</v>
      </c>
    </row>
    <row r="13" spans="1:12" x14ac:dyDescent="0.35">
      <c r="A13" s="12" t="s">
        <v>55</v>
      </c>
      <c r="B13" s="3">
        <f>E3-E6</f>
        <v>66</v>
      </c>
      <c r="C13" s="19" t="str" cm="1">
        <f t="array" ref="C13">_xlfn.LET(_xlpm.t,Scores!A2:A5,_xlpm.p,_xlfn.BYROW(_xlpm.t,_xlfn.LAMBDA(_xlpm.x,VLOOKUP(_xlpm.x,Scores!A:D,4,FALSE)+COUNTIFS(Placements!D2:D21,_xlpm.x,Placements!B2:B21,"")*25-COUNTIFS(Placements!D2:D21,_xlpm.x,Placements!B2:B21,"")*(COUNTIFS(Placements!D2:D21,_xlpm.x,Placements!B2:B21,"")+1)/2+IF(ISNUMBER(VLOOKUP(VLOOKUP(_xlpm.x,'Golden Snitch'!A:B,2,FALSE),Placements!A:B,2,FALSE)),0,25))),INDEX(_xlfn.SORTBY(_xlpm.t,_xlpm.p,-1),4))</f>
        <v>Corn HoleSanders</v>
      </c>
      <c r="D13" s="20">
        <f>VLOOKUP(C13,Scores!A:D,4,FALSE)+COUNTIFS(Placements!D2:D21,C13,Placements!B2:B21,"")*25-COUNTIFS(Placements!D2:D21,C13,Placements!B2:B21,"")*(COUNTIFS(Placements!D2:D21,C13,Placements!B2:B21,"")+1)/2+IF(ISNUMBER(VLOOKUP(VLOOKUP(C13,'Golden Snitch'!A:B,2,FALSE),Placements!A:B,2,FALSE)),0,25)</f>
        <v>55</v>
      </c>
      <c r="E13" s="21">
        <f>COUNTIFS(Placements!D2:D21,C13,Placements!B2:B21,"")</f>
        <v>0</v>
      </c>
      <c r="F13" s="21">
        <f>COUNTIFS(Placements!D2:D21,C13,Placements!B2:B21,"&lt;&gt;")</f>
        <v>5</v>
      </c>
      <c r="G13"/>
      <c r="I13" s="13" t="str">
        <v>Rick Devens ❌</v>
      </c>
      <c r="J13" s="13" t="str">
        <v>Rizo Velovic ❌</v>
      </c>
    </row>
    <row r="14" spans="1:12" x14ac:dyDescent="0.35">
      <c r="B14"/>
      <c r="C14"/>
      <c r="D14"/>
      <c r="E14"/>
      <c r="F14"/>
      <c r="G14"/>
      <c r="I14" s="14" t="str">
        <v>Benjamin Wade ❌</v>
      </c>
      <c r="J14" s="14" t="str">
        <v>Dianelys Valladares ❌</v>
      </c>
    </row>
    <row r="15" spans="1:12" ht="22" customHeight="1" x14ac:dyDescent="0.4">
      <c r="A15" s="35" t="s">
        <v>42</v>
      </c>
      <c r="B15" s="36"/>
      <c r="C15" s="36"/>
      <c r="D15" s="36"/>
      <c r="E15" s="37" t="s">
        <v>47</v>
      </c>
      <c r="F15" s="38"/>
      <c r="G15" s="38"/>
    </row>
    <row r="16" spans="1:12" s="27" customFormat="1" x14ac:dyDescent="0.35">
      <c r="A16" s="15" t="s">
        <v>1</v>
      </c>
      <c r="B16" s="15" t="s">
        <v>0</v>
      </c>
      <c r="C16" s="15" t="s">
        <v>27</v>
      </c>
      <c r="D16" s="26" t="s">
        <v>44</v>
      </c>
      <c r="E16" s="15" t="s">
        <v>0</v>
      </c>
      <c r="F16" s="15" t="s">
        <v>32</v>
      </c>
      <c r="G16" s="15" t="s">
        <v>41</v>
      </c>
    </row>
    <row r="17" spans="1:7" x14ac:dyDescent="0.35">
      <c r="A17" s="24" t="str" cm="1">
        <f t="array" ref="A17">IFERROR(INDEX(_xlfn.SORTBY(_xlfn._xlws.FILTER(Placements!A2:A21,Placements!B2:B21&lt;&gt;""),_xlfn._xlws.FILTER(Placements!C2:C21,Placements!B2:B21&lt;&gt;""),-1,_xlfn._xlws.FILTER(Placements!B2:B21,Placements!B2:B21&lt;&gt;""),1),1),"")</f>
        <v>Aubry Bracco</v>
      </c>
      <c r="B17" s="24" t="str" cm="1">
        <f t="array" ref="B17">IFERROR(INDEX(_xlfn.SORTBY(_xlfn._xlws.FILTER(Placements!D2:D21,Placements!B2:B21&lt;&gt;""),_xlfn._xlws.FILTER(Placements!C2:C21,Placements!B2:B21&lt;&gt;""),-1,_xlfn._xlws.FILTER(Placements!B2:B21,Placements!B2:B21&lt;&gt;""),1),1),"")</f>
        <v>Lottie Smith</v>
      </c>
      <c r="C17" s="18" cm="1">
        <f t="array" ref="C17">IFERROR(INDEX(_xlfn.SORTBY(_xlfn._xlws.FILTER(Placements!C2:C21,Placements!B2:B21&lt;&gt;""),_xlfn._xlws.FILTER(Placements!C2:C21,Placements!B2:B21&lt;&gt;""),-1,_xlfn._xlws.FILTER(Placements!B2:B21,Placements!B2:B21&lt;&gt;""),1),1),"")</f>
        <v>13</v>
      </c>
      <c r="D17" s="22" cm="1">
        <f t="array" ref="D17">IFERROR(INDEX(_xlfn.SORTBY(_xlfn._xlws.FILTER(Placements!H2:H21,Placements!B2:B21&lt;&gt;""),_xlfn._xlws.FILTER(Placements!C2:C21,Placements!B2:B21&lt;&gt;""),-1,_xlfn._xlws.FILTER(Placements!B2:B21,Placements!B2:B21&lt;&gt;""),1),1),"")</f>
        <v>44</v>
      </c>
      <c r="E17" s="24" t="str">
        <f>'Golden Snitch'!A2</f>
        <v>Jordan Potter</v>
      </c>
      <c r="F17" s="24" t="str">
        <f>'Golden Snitch'!B2</f>
        <v>Charlie Davis</v>
      </c>
      <c r="G17" s="18" t="str">
        <f>IF(ISNUMBER(VLOOKUP(F17,Placements!A:B,2,FALSE)),"❌ Out","✅ Yes")</f>
        <v>❌ Out</v>
      </c>
    </row>
    <row r="18" spans="1:7" x14ac:dyDescent="0.35">
      <c r="A18" s="25" t="str" cm="1">
        <f t="array" ref="A18">IFERROR(INDEX(_xlfn.SORTBY(_xlfn._xlws.FILTER(Placements!A2:A21,Placements!B2:B21&lt;&gt;""),_xlfn._xlws.FILTER(Placements!C2:C21,Placements!B2:B21&lt;&gt;""),-1,_xlfn._xlws.FILTER(Placements!B2:B21,Placements!B2:B21&lt;&gt;""),1),2),"")</f>
        <v>Jonathan Young</v>
      </c>
      <c r="B18" s="25" t="str" cm="1">
        <f t="array" ref="B18">IFERROR(INDEX(_xlfn.SORTBY(_xlfn._xlws.FILTER(Placements!D2:D21,Placements!B2:B21&lt;&gt;""),_xlfn._xlws.FILTER(Placements!C2:C21,Placements!B2:B21&lt;&gt;""),-1,_xlfn._xlws.FILTER(Placements!B2:B21,Placements!B2:B21&lt;&gt;""),1),2),"")</f>
        <v>Christopher Smith</v>
      </c>
      <c r="C18" s="21" cm="1">
        <f t="array" ref="C18">IFERROR(INDEX(_xlfn.SORTBY(_xlfn._xlws.FILTER(Placements!C2:C21,Placements!B2:B21&lt;&gt;""),_xlfn._xlws.FILTER(Placements!C2:C21,Placements!B2:B21&lt;&gt;""),-1,_xlfn._xlws.FILTER(Placements!B2:B21,Placements!B2:B21&lt;&gt;""),1),2),"")</f>
        <v>13</v>
      </c>
      <c r="D18" s="23" cm="1">
        <f t="array" ref="D18">IFERROR(INDEX(_xlfn.SORTBY(_xlfn._xlws.FILTER(Placements!H2:H21,Placements!B2:B21&lt;&gt;""),_xlfn._xlws.FILTER(Placements!C2:C21,Placements!B2:B21&lt;&gt;""),-1,_xlfn._xlws.FILTER(Placements!B2:B21,Placements!B2:B21&lt;&gt;""),1),2),"")</f>
        <v>33</v>
      </c>
      <c r="E18" s="25" t="str">
        <f>'Golden Snitch'!A3</f>
        <v>Lottie Smith</v>
      </c>
      <c r="F18" s="25" t="str">
        <f>'Golden Snitch'!B3</f>
        <v>Aubry Bracco</v>
      </c>
      <c r="G18" s="21" t="str">
        <f>IF(ISNUMBER(VLOOKUP(F18,Placements!A:B,2,FALSE)),"❌ Out","✅ Yes")</f>
        <v>❌ Out</v>
      </c>
    </row>
    <row r="19" spans="1:7" x14ac:dyDescent="0.35">
      <c r="A19" s="24" t="str" cm="1">
        <f t="array" ref="A19">IFERROR(INDEX(_xlfn.SORTBY(_xlfn._xlws.FILTER(Placements!A2:A21,Placements!B2:B21&lt;&gt;""),_xlfn._xlws.FILTER(Placements!C2:C21,Placements!B2:B21&lt;&gt;""),-1,_xlfn._xlws.FILTER(Placements!B2:B21,Placements!B2:B21&lt;&gt;""),1),3),"")</f>
        <v>Joe Hunter</v>
      </c>
      <c r="B19" s="24" t="str" cm="1">
        <f t="array" ref="B19">IFERROR(INDEX(_xlfn.SORTBY(_xlfn._xlws.FILTER(Placements!D2:D21,Placements!B2:B21&lt;&gt;""),_xlfn._xlws.FILTER(Placements!C2:C21,Placements!B2:B21&lt;&gt;""),-1,_xlfn._xlws.FILTER(Placements!B2:B21,Placements!B2:B21&lt;&gt;""),1),3),"")</f>
        <v>Jordan Potter</v>
      </c>
      <c r="C19" s="18" cm="1">
        <f t="array" ref="C19">IFERROR(INDEX(_xlfn.SORTBY(_xlfn._xlws.FILTER(Placements!C2:C21,Placements!B2:B21&lt;&gt;""),_xlfn._xlws.FILTER(Placements!C2:C21,Placements!B2:B21&lt;&gt;""),-1,_xlfn._xlws.FILTER(Placements!B2:B21,Placements!B2:B21&lt;&gt;""),1),3),"")</f>
        <v>13</v>
      </c>
      <c r="D19" s="22" cm="1">
        <f t="array" ref="D19">IFERROR(INDEX(_xlfn.SORTBY(_xlfn._xlws.FILTER(Placements!H2:H21,Placements!B2:B21&lt;&gt;""),_xlfn._xlws.FILTER(Placements!C2:C21,Placements!B2:B21&lt;&gt;""),-1,_xlfn._xlws.FILTER(Placements!B2:B21,Placements!B2:B21&lt;&gt;""),1),3),"")</f>
        <v>32</v>
      </c>
      <c r="E19" s="24" t="str">
        <f>'Golden Snitch'!A4</f>
        <v>Corn HoleSanders</v>
      </c>
      <c r="F19" s="24" t="str">
        <f>'Golden Snitch'!B4</f>
        <v>Rick Devens</v>
      </c>
      <c r="G19" s="18" t="str">
        <f>IF(ISNUMBER(VLOOKUP(F19,Placements!A:B,2,FALSE)),"❌ Out","✅ Yes")</f>
        <v>❌ Out</v>
      </c>
    </row>
    <row r="20" spans="1:7" x14ac:dyDescent="0.35">
      <c r="A20" s="25" t="str" cm="1">
        <f t="array" ref="A20">IFERROR(INDEX(_xlfn.SORTBY(_xlfn._xlws.FILTER(Placements!A2:A21,Placements!B2:B21&lt;&gt;""),_xlfn._xlws.FILTER(Placements!C2:C21,Placements!B2:B21&lt;&gt;""),-1,_xlfn._xlws.FILTER(Placements!B2:B21,Placements!B2:B21&lt;&gt;""),1),4),"")</f>
        <v>Rizo Velovic</v>
      </c>
      <c r="B20" s="25" t="str" cm="1">
        <f t="array" ref="B20">IFERROR(INDEX(_xlfn.SORTBY(_xlfn._xlws.FILTER(Placements!D2:D21,Placements!B2:B21&lt;&gt;""),_xlfn._xlws.FILTER(Placements!C2:C21,Placements!B2:B21&lt;&gt;""),-1,_xlfn._xlws.FILTER(Placements!B2:B21,Placements!B2:B21&lt;&gt;""),1),4),"")</f>
        <v>Christopher Smith</v>
      </c>
      <c r="C20" s="21" cm="1">
        <f t="array" ref="C20">IFERROR(INDEX(_xlfn.SORTBY(_xlfn._xlws.FILTER(Placements!C2:C21,Placements!B2:B21&lt;&gt;""),_xlfn._xlws.FILTER(Placements!C2:C21,Placements!B2:B21&lt;&gt;""),-1,_xlfn._xlws.FILTER(Placements!B2:B21,Placements!B2:B21&lt;&gt;""),1),4),"")</f>
        <v>13</v>
      </c>
      <c r="D20" s="23" cm="1">
        <f t="array" ref="D20">IFERROR(INDEX(_xlfn.SORTBY(_xlfn._xlws.FILTER(Placements!H2:H21,Placements!B2:B21&lt;&gt;""),_xlfn._xlws.FILTER(Placements!C2:C21,Placements!B2:B21&lt;&gt;""),-1,_xlfn._xlws.FILTER(Placements!B2:B21,Placements!B2:B21&lt;&gt;""),1),4),"")</f>
        <v>21</v>
      </c>
      <c r="E20" s="25" t="str">
        <f>'Golden Snitch'!A5</f>
        <v>Christopher Smith</v>
      </c>
      <c r="F20" s="25" t="str">
        <f>'Golden Snitch'!B5</f>
        <v>Jonathan Young</v>
      </c>
      <c r="G20" s="21" t="str">
        <f>IF(ISNUMBER(VLOOKUP(F20,Placements!A:B,2,FALSE)),"❌ Out","✅ Yes")</f>
        <v>❌ Out</v>
      </c>
    </row>
    <row r="21" spans="1:7" x14ac:dyDescent="0.35">
      <c r="B21"/>
      <c r="C21"/>
      <c r="D21"/>
      <c r="E21"/>
      <c r="F21"/>
      <c r="G21"/>
    </row>
    <row r="22" spans="1:7" x14ac:dyDescent="0.35">
      <c r="B22"/>
      <c r="C22"/>
      <c r="D22"/>
      <c r="E22"/>
      <c r="F22"/>
      <c r="G22"/>
    </row>
  </sheetData>
  <mergeCells count="6">
    <mergeCell ref="I1:J1"/>
    <mergeCell ref="A15:D15"/>
    <mergeCell ref="E15:G15"/>
    <mergeCell ref="A8:B8"/>
    <mergeCell ref="C8:F8"/>
    <mergeCell ref="A1:F1"/>
  </mergeCells>
  <conditionalFormatting sqref="A3:F3">
    <cfRule type="expression" dxfId="0" priority="2">
      <formula>TRUE</formula>
    </cfRule>
  </conditionalFormatting>
  <conditionalFormatting sqref="E10:E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79380-8B7C-44D1-81C2-389A46B4436C}">
  <dimension ref="A1:H25"/>
  <sheetViews>
    <sheetView zoomScale="90" zoomScaleNormal="90" workbookViewId="0">
      <pane ySplit="1" topLeftCell="A2" activePane="bottomLeft" state="frozen"/>
      <selection pane="bottomLeft" activeCell="A2" sqref="A2:H25"/>
    </sheetView>
  </sheetViews>
  <sheetFormatPr defaultRowHeight="14.5" x14ac:dyDescent="0.35"/>
  <cols>
    <col min="1" max="1" width="25" customWidth="1"/>
    <col min="2" max="3" width="10" customWidth="1"/>
    <col min="4" max="4" width="25" customWidth="1"/>
    <col min="5" max="8" width="12" customWidth="1"/>
  </cols>
  <sheetData>
    <row r="1" spans="1:8" x14ac:dyDescent="0.35">
      <c r="A1" s="1" t="s">
        <v>1</v>
      </c>
      <c r="B1" s="1" t="s">
        <v>26</v>
      </c>
      <c r="C1" s="1" t="s">
        <v>27</v>
      </c>
      <c r="D1" s="1" t="s">
        <v>0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35">
      <c r="A2" t="s">
        <v>19</v>
      </c>
      <c r="B2">
        <v>12</v>
      </c>
      <c r="C2">
        <v>8</v>
      </c>
      <c r="D2" t="s">
        <v>57</v>
      </c>
      <c r="E2">
        <f t="shared" ref="E2:E25" si="0">IF(B2&lt;&gt;"",25-B2,"")</f>
        <v>13</v>
      </c>
      <c r="F2">
        <f t="shared" ref="F2:F25" si="1">IF(B2&lt;&gt;"",IF(B2&lt;=3,10,0),"")</f>
        <v>0</v>
      </c>
      <c r="G2">
        <f t="shared" ref="G2:G25" si="2">IF(B2&lt;&gt;"",IF(B2=1,10,0),"")</f>
        <v>0</v>
      </c>
      <c r="H2">
        <f t="shared" ref="H2:H25" si="3">IF(B2&lt;&gt;"",E2+F2+G2,"")</f>
        <v>13</v>
      </c>
    </row>
    <row r="3" spans="1:8" x14ac:dyDescent="0.35">
      <c r="A3" t="s">
        <v>58</v>
      </c>
      <c r="B3">
        <v>12</v>
      </c>
      <c r="C3">
        <v>8</v>
      </c>
      <c r="D3" t="s">
        <v>57</v>
      </c>
      <c r="E3">
        <f t="shared" si="0"/>
        <v>13</v>
      </c>
      <c r="F3">
        <f t="shared" si="1"/>
        <v>0</v>
      </c>
      <c r="G3">
        <f t="shared" si="2"/>
        <v>0</v>
      </c>
      <c r="H3">
        <f t="shared" si="3"/>
        <v>13</v>
      </c>
    </row>
    <row r="4" spans="1:8" x14ac:dyDescent="0.35">
      <c r="A4" t="s">
        <v>9</v>
      </c>
      <c r="B4">
        <v>15</v>
      </c>
      <c r="C4">
        <v>6</v>
      </c>
      <c r="D4" t="s">
        <v>57</v>
      </c>
      <c r="E4">
        <f t="shared" si="0"/>
        <v>10</v>
      </c>
      <c r="F4">
        <f t="shared" si="1"/>
        <v>0</v>
      </c>
      <c r="G4">
        <f t="shared" si="2"/>
        <v>0</v>
      </c>
      <c r="H4">
        <f t="shared" si="3"/>
        <v>10</v>
      </c>
    </row>
    <row r="5" spans="1:8" x14ac:dyDescent="0.35">
      <c r="A5" t="s">
        <v>15</v>
      </c>
      <c r="B5">
        <v>15</v>
      </c>
      <c r="C5">
        <v>6</v>
      </c>
      <c r="D5" t="s">
        <v>57</v>
      </c>
      <c r="E5">
        <f t="shared" si="0"/>
        <v>10</v>
      </c>
      <c r="F5">
        <f t="shared" si="1"/>
        <v>0</v>
      </c>
      <c r="G5">
        <f t="shared" si="2"/>
        <v>0</v>
      </c>
      <c r="H5">
        <f t="shared" si="3"/>
        <v>10</v>
      </c>
    </row>
    <row r="6" spans="1:8" x14ac:dyDescent="0.35">
      <c r="A6" t="s">
        <v>12</v>
      </c>
      <c r="B6">
        <v>20</v>
      </c>
      <c r="C6">
        <v>4</v>
      </c>
      <c r="D6" t="s">
        <v>57</v>
      </c>
      <c r="E6">
        <f t="shared" si="0"/>
        <v>5</v>
      </c>
      <c r="F6">
        <f t="shared" si="1"/>
        <v>0</v>
      </c>
      <c r="G6">
        <f t="shared" si="2"/>
        <v>0</v>
      </c>
      <c r="H6">
        <f t="shared" si="3"/>
        <v>5</v>
      </c>
    </row>
    <row r="7" spans="1:8" x14ac:dyDescent="0.35">
      <c r="A7" t="s">
        <v>6</v>
      </c>
      <c r="B7">
        <v>22</v>
      </c>
      <c r="C7">
        <v>2</v>
      </c>
      <c r="D7" t="s">
        <v>57</v>
      </c>
      <c r="E7">
        <f t="shared" si="0"/>
        <v>3</v>
      </c>
      <c r="F7">
        <f t="shared" si="1"/>
        <v>0</v>
      </c>
      <c r="G7">
        <f t="shared" si="2"/>
        <v>0</v>
      </c>
      <c r="H7">
        <f t="shared" si="3"/>
        <v>3</v>
      </c>
    </row>
    <row r="8" spans="1:8" x14ac:dyDescent="0.35">
      <c r="A8" t="s">
        <v>11</v>
      </c>
      <c r="B8">
        <v>1</v>
      </c>
      <c r="C8">
        <v>13</v>
      </c>
      <c r="D8" t="s">
        <v>59</v>
      </c>
      <c r="E8">
        <f t="shared" si="0"/>
        <v>24</v>
      </c>
      <c r="F8">
        <f t="shared" si="1"/>
        <v>10</v>
      </c>
      <c r="G8">
        <f t="shared" si="2"/>
        <v>10</v>
      </c>
      <c r="H8">
        <f t="shared" si="3"/>
        <v>44</v>
      </c>
    </row>
    <row r="9" spans="1:8" x14ac:dyDescent="0.35">
      <c r="A9" t="s">
        <v>23</v>
      </c>
      <c r="B9">
        <v>6</v>
      </c>
      <c r="C9">
        <v>12</v>
      </c>
      <c r="D9" t="s">
        <v>59</v>
      </c>
      <c r="E9">
        <f t="shared" si="0"/>
        <v>19</v>
      </c>
      <c r="F9">
        <f t="shared" si="1"/>
        <v>0</v>
      </c>
      <c r="G9">
        <f t="shared" si="2"/>
        <v>0</v>
      </c>
      <c r="H9">
        <f t="shared" si="3"/>
        <v>19</v>
      </c>
    </row>
    <row r="10" spans="1:8" x14ac:dyDescent="0.35">
      <c r="A10" t="s">
        <v>60</v>
      </c>
      <c r="B10">
        <v>24</v>
      </c>
      <c r="C10">
        <v>1</v>
      </c>
      <c r="D10" t="s">
        <v>59</v>
      </c>
      <c r="E10">
        <f t="shared" si="0"/>
        <v>1</v>
      </c>
      <c r="F10">
        <f t="shared" si="1"/>
        <v>0</v>
      </c>
      <c r="G10">
        <f t="shared" si="2"/>
        <v>0</v>
      </c>
      <c r="H10">
        <f t="shared" si="3"/>
        <v>1</v>
      </c>
    </row>
    <row r="11" spans="1:8" x14ac:dyDescent="0.35">
      <c r="A11" t="s">
        <v>61</v>
      </c>
      <c r="B11">
        <v>23</v>
      </c>
      <c r="C11">
        <v>1</v>
      </c>
      <c r="D11" t="s">
        <v>59</v>
      </c>
      <c r="E11">
        <f t="shared" si="0"/>
        <v>2</v>
      </c>
      <c r="F11">
        <f t="shared" si="1"/>
        <v>0</v>
      </c>
      <c r="G11">
        <f t="shared" si="2"/>
        <v>0</v>
      </c>
      <c r="H11">
        <f t="shared" si="3"/>
        <v>2</v>
      </c>
    </row>
    <row r="12" spans="1:8" x14ac:dyDescent="0.35">
      <c r="A12" t="s">
        <v>17</v>
      </c>
      <c r="B12">
        <v>21</v>
      </c>
      <c r="C12">
        <v>3</v>
      </c>
      <c r="D12" t="s">
        <v>59</v>
      </c>
      <c r="E12">
        <f t="shared" si="0"/>
        <v>4</v>
      </c>
      <c r="F12">
        <f t="shared" si="1"/>
        <v>0</v>
      </c>
      <c r="G12">
        <f t="shared" si="2"/>
        <v>0</v>
      </c>
      <c r="H12">
        <f t="shared" si="3"/>
        <v>4</v>
      </c>
    </row>
    <row r="13" spans="1:8" x14ac:dyDescent="0.35">
      <c r="A13" t="s">
        <v>7</v>
      </c>
      <c r="B13">
        <v>10</v>
      </c>
      <c r="C13">
        <v>10</v>
      </c>
      <c r="D13" t="s">
        <v>59</v>
      </c>
      <c r="E13">
        <f t="shared" si="0"/>
        <v>15</v>
      </c>
      <c r="F13">
        <f t="shared" si="1"/>
        <v>0</v>
      </c>
      <c r="G13">
        <f t="shared" si="2"/>
        <v>0</v>
      </c>
      <c r="H13">
        <f t="shared" si="3"/>
        <v>15</v>
      </c>
    </row>
    <row r="14" spans="1:8" x14ac:dyDescent="0.35">
      <c r="A14" t="s">
        <v>3</v>
      </c>
      <c r="B14">
        <v>18</v>
      </c>
      <c r="C14">
        <v>5</v>
      </c>
      <c r="D14" t="s">
        <v>62</v>
      </c>
      <c r="E14">
        <f t="shared" si="0"/>
        <v>7</v>
      </c>
      <c r="F14">
        <f t="shared" si="1"/>
        <v>0</v>
      </c>
      <c r="G14">
        <f t="shared" si="2"/>
        <v>0</v>
      </c>
      <c r="H14">
        <f t="shared" si="3"/>
        <v>7</v>
      </c>
    </row>
    <row r="15" spans="1:8" x14ac:dyDescent="0.35">
      <c r="A15" t="s">
        <v>5</v>
      </c>
      <c r="B15">
        <v>11</v>
      </c>
      <c r="C15">
        <v>9</v>
      </c>
      <c r="D15" t="s">
        <v>62</v>
      </c>
      <c r="E15">
        <f t="shared" si="0"/>
        <v>14</v>
      </c>
      <c r="F15">
        <f t="shared" si="1"/>
        <v>0</v>
      </c>
      <c r="G15">
        <f t="shared" si="2"/>
        <v>0</v>
      </c>
      <c r="H15">
        <f t="shared" si="3"/>
        <v>14</v>
      </c>
    </row>
    <row r="16" spans="1:8" x14ac:dyDescent="0.35">
      <c r="A16" t="s">
        <v>25</v>
      </c>
      <c r="B16">
        <v>14</v>
      </c>
      <c r="C16">
        <v>7</v>
      </c>
      <c r="D16" t="s">
        <v>62</v>
      </c>
      <c r="E16">
        <f t="shared" si="0"/>
        <v>11</v>
      </c>
      <c r="F16">
        <f t="shared" si="1"/>
        <v>0</v>
      </c>
      <c r="G16">
        <f t="shared" si="2"/>
        <v>0</v>
      </c>
      <c r="H16">
        <f t="shared" si="3"/>
        <v>11</v>
      </c>
    </row>
    <row r="17" spans="1:8" x14ac:dyDescent="0.35">
      <c r="A17" t="s">
        <v>4</v>
      </c>
      <c r="B17">
        <v>3</v>
      </c>
      <c r="C17">
        <v>13</v>
      </c>
      <c r="D17" t="s">
        <v>62</v>
      </c>
      <c r="E17">
        <f t="shared" si="0"/>
        <v>22</v>
      </c>
      <c r="F17">
        <f t="shared" si="1"/>
        <v>10</v>
      </c>
      <c r="G17">
        <f t="shared" si="2"/>
        <v>0</v>
      </c>
      <c r="H17">
        <f t="shared" si="3"/>
        <v>32</v>
      </c>
    </row>
    <row r="18" spans="1:8" x14ac:dyDescent="0.35">
      <c r="A18" t="s">
        <v>18</v>
      </c>
      <c r="B18">
        <v>7</v>
      </c>
      <c r="C18">
        <v>12</v>
      </c>
      <c r="D18" t="s">
        <v>62</v>
      </c>
      <c r="E18">
        <f t="shared" si="0"/>
        <v>18</v>
      </c>
      <c r="F18">
        <f t="shared" si="1"/>
        <v>0</v>
      </c>
      <c r="G18">
        <f t="shared" si="2"/>
        <v>0</v>
      </c>
      <c r="H18">
        <f t="shared" si="3"/>
        <v>18</v>
      </c>
    </row>
    <row r="19" spans="1:8" x14ac:dyDescent="0.35">
      <c r="A19" t="s">
        <v>24</v>
      </c>
      <c r="B19">
        <v>4</v>
      </c>
      <c r="C19">
        <v>13</v>
      </c>
      <c r="D19" t="s">
        <v>62</v>
      </c>
      <c r="E19">
        <f t="shared" si="0"/>
        <v>21</v>
      </c>
      <c r="F19">
        <f t="shared" si="1"/>
        <v>0</v>
      </c>
      <c r="G19">
        <f t="shared" si="2"/>
        <v>0</v>
      </c>
      <c r="H19">
        <f t="shared" si="3"/>
        <v>21</v>
      </c>
    </row>
    <row r="20" spans="1:8" x14ac:dyDescent="0.35">
      <c r="A20" t="s">
        <v>22</v>
      </c>
      <c r="B20">
        <v>18</v>
      </c>
      <c r="C20">
        <v>5</v>
      </c>
      <c r="D20" t="s">
        <v>63</v>
      </c>
      <c r="E20">
        <f t="shared" si="0"/>
        <v>7</v>
      </c>
      <c r="F20">
        <f t="shared" si="1"/>
        <v>0</v>
      </c>
      <c r="G20">
        <f t="shared" si="2"/>
        <v>0</v>
      </c>
      <c r="H20">
        <f t="shared" si="3"/>
        <v>7</v>
      </c>
    </row>
    <row r="21" spans="1:8" x14ac:dyDescent="0.35">
      <c r="A21" t="s">
        <v>64</v>
      </c>
      <c r="B21">
        <v>9</v>
      </c>
      <c r="C21">
        <v>11</v>
      </c>
      <c r="D21" t="s">
        <v>63</v>
      </c>
      <c r="E21">
        <f t="shared" si="0"/>
        <v>16</v>
      </c>
      <c r="F21">
        <f t="shared" si="1"/>
        <v>0</v>
      </c>
      <c r="G21">
        <f t="shared" si="2"/>
        <v>0</v>
      </c>
      <c r="H21">
        <f>IF(B21&lt;&gt;"",E21+F21+G21,"")</f>
        <v>16</v>
      </c>
    </row>
    <row r="22" spans="1:8" x14ac:dyDescent="0.35">
      <c r="A22" t="s">
        <v>21</v>
      </c>
      <c r="B22">
        <v>2</v>
      </c>
      <c r="C22">
        <v>13</v>
      </c>
      <c r="D22" t="s">
        <v>63</v>
      </c>
      <c r="E22">
        <f t="shared" si="0"/>
        <v>23</v>
      </c>
      <c r="F22">
        <f t="shared" si="1"/>
        <v>10</v>
      </c>
      <c r="G22">
        <f t="shared" si="2"/>
        <v>0</v>
      </c>
      <c r="H22">
        <f t="shared" si="3"/>
        <v>33</v>
      </c>
    </row>
    <row r="23" spans="1:8" x14ac:dyDescent="0.35">
      <c r="A23" t="s">
        <v>16</v>
      </c>
      <c r="B23">
        <v>15</v>
      </c>
      <c r="C23">
        <v>6</v>
      </c>
      <c r="D23" t="s">
        <v>63</v>
      </c>
      <c r="E23">
        <f t="shared" si="0"/>
        <v>10</v>
      </c>
      <c r="F23">
        <f t="shared" si="1"/>
        <v>0</v>
      </c>
      <c r="G23">
        <f t="shared" si="2"/>
        <v>0</v>
      </c>
      <c r="H23">
        <f t="shared" si="3"/>
        <v>10</v>
      </c>
    </row>
    <row r="24" spans="1:8" x14ac:dyDescent="0.35">
      <c r="A24" t="s">
        <v>10</v>
      </c>
      <c r="B24">
        <v>8</v>
      </c>
      <c r="C24">
        <v>11</v>
      </c>
      <c r="D24" t="s">
        <v>63</v>
      </c>
      <c r="E24">
        <f t="shared" si="0"/>
        <v>17</v>
      </c>
      <c r="F24">
        <f t="shared" si="1"/>
        <v>0</v>
      </c>
      <c r="G24">
        <f t="shared" si="2"/>
        <v>0</v>
      </c>
      <c r="H24">
        <f t="shared" si="3"/>
        <v>17</v>
      </c>
    </row>
    <row r="25" spans="1:8" x14ac:dyDescent="0.35">
      <c r="A25" t="s">
        <v>13</v>
      </c>
      <c r="B25">
        <v>5</v>
      </c>
      <c r="C25">
        <v>13</v>
      </c>
      <c r="D25" t="s">
        <v>63</v>
      </c>
      <c r="E25">
        <f t="shared" si="0"/>
        <v>20</v>
      </c>
      <c r="F25">
        <f t="shared" si="1"/>
        <v>0</v>
      </c>
      <c r="G25">
        <f t="shared" si="2"/>
        <v>0</v>
      </c>
      <c r="H25">
        <f t="shared" si="3"/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Teams</vt:lpstr>
      <vt:lpstr>Placements</vt:lpstr>
      <vt:lpstr>Golden Snitch</vt:lpstr>
      <vt:lpstr>Scores</vt:lpstr>
      <vt:lpstr>Dashboard</vt:lpstr>
      <vt:lpstr>Placements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Smith, Chris</cp:lastModifiedBy>
  <dcterms:created xsi:type="dcterms:W3CDTF">2026-03-02T22:52:28Z</dcterms:created>
  <dcterms:modified xsi:type="dcterms:W3CDTF">2026-05-22T02:32:29Z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a08a689-5786-47ec-8879-c4322cfa9558_Enabled">
    <vt:lpwstr>true</vt:lpwstr>
  </property>
  <property fmtid="{D5CDD505-2E9C-101B-9397-08002B2CF9AE}" pid="3" name="MSIP_Label_7a08a689-5786-47ec-8879-c4322cfa9558_SetDate">
    <vt:lpwstr>2026-03-02T22:54:29Z</vt:lpwstr>
  </property>
  <property fmtid="{D5CDD505-2E9C-101B-9397-08002B2CF9AE}" pid="4" name="MSIP_Label_7a08a689-5786-47ec-8879-c4322cfa9558_Method">
    <vt:lpwstr>Standard</vt:lpwstr>
  </property>
  <property fmtid="{D5CDD505-2E9C-101B-9397-08002B2CF9AE}" pid="5" name="MSIP_Label_7a08a689-5786-47ec-8879-c4322cfa9558_Name">
    <vt:lpwstr>7a08a689-5786-47ec-8879-c4322cfa9558</vt:lpwstr>
  </property>
  <property fmtid="{D5CDD505-2E9C-101B-9397-08002B2CF9AE}" pid="6" name="MSIP_Label_7a08a689-5786-47ec-8879-c4322cfa9558_SiteId">
    <vt:lpwstr>8eb73218-837f-41d8-a48c-1c1f942b2b2a</vt:lpwstr>
  </property>
  <property fmtid="{D5CDD505-2E9C-101B-9397-08002B2CF9AE}" pid="7" name="MSIP_Label_7a08a689-5786-47ec-8879-c4322cfa9558_ActionId">
    <vt:lpwstr>c11f4e06-ea9f-4777-92fa-c52b734b76bc</vt:lpwstr>
  </property>
  <property fmtid="{D5CDD505-2E9C-101B-9397-08002B2CF9AE}" pid="8" name="MSIP_Label_7a08a689-5786-47ec-8879-c4322cfa9558_ContentBits">
    <vt:lpwstr>0</vt:lpwstr>
  </property>
  <property fmtid="{D5CDD505-2E9C-101B-9397-08002B2CF9AE}" pid="9" name="MSIP_Label_7a08a689-5786-47ec-8879-c4322cfa9558_Tag">
    <vt:lpwstr>10, 3, 0, 1</vt:lpwstr>
  </property>
</Properties>
</file>